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uky-my.sharepoint.com/personal/cnle232_uky_edu/Documents/Microsoft Teams Chat Files/"/>
    </mc:Choice>
  </mc:AlternateContent>
  <xr:revisionPtr revIDLastSave="855" documentId="8_{196742DE-312D-4658-8182-81A23368DFFE}" xr6:coauthVersionLast="47" xr6:coauthVersionMax="47" xr10:uidLastSave="{9233302B-3326-497D-97D3-B5BF3483EC27}"/>
  <bookViews>
    <workbookView xWindow="38280" yWindow="4050" windowWidth="29040" windowHeight="15720" tabRatio="500" xr2:uid="{00000000-000D-0000-FFFF-FFFF00000000}"/>
  </bookViews>
  <sheets>
    <sheet name="Tracker" sheetId="1" r:id="rId1"/>
    <sheet name="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1" l="1"/>
  <c r="E76" i="1"/>
  <c r="E45" i="1"/>
  <c r="E72" i="1"/>
  <c r="E68" i="1"/>
  <c r="H90" i="1"/>
  <c r="H78" i="1"/>
  <c r="H79" i="1"/>
  <c r="H80" i="1"/>
  <c r="H81" i="1"/>
  <c r="H82" i="1"/>
  <c r="H83" i="1"/>
  <c r="H84" i="1"/>
  <c r="H85" i="1"/>
  <c r="H86" i="1"/>
  <c r="H87" i="1"/>
  <c r="H88" i="1"/>
  <c r="H89" i="1"/>
  <c r="H76" i="1"/>
  <c r="H77" i="1"/>
  <c r="H75" i="1"/>
  <c r="H74" i="1"/>
  <c r="E74" i="1"/>
  <c r="H73" i="1"/>
  <c r="H72" i="1"/>
  <c r="H71" i="1"/>
  <c r="H70" i="1"/>
  <c r="H69" i="1"/>
  <c r="H68" i="1"/>
  <c r="H67" i="1"/>
  <c r="H66" i="1"/>
  <c r="H65" i="1"/>
  <c r="E65" i="1"/>
  <c r="E61" i="1"/>
  <c r="H64" i="1"/>
  <c r="H63" i="1"/>
  <c r="H62" i="1"/>
  <c r="H61" i="1"/>
  <c r="H60" i="1"/>
  <c r="H59" i="1"/>
  <c r="H58" i="1"/>
  <c r="E58" i="1"/>
  <c r="H57" i="1"/>
  <c r="H56" i="1"/>
  <c r="H55" i="1"/>
  <c r="E55" i="1"/>
  <c r="H51" i="1"/>
  <c r="H50" i="1"/>
  <c r="H49" i="1"/>
  <c r="E42" i="1"/>
  <c r="E52" i="1"/>
  <c r="H52" i="1"/>
  <c r="H53" i="1"/>
  <c r="H54" i="1"/>
  <c r="H48" i="1"/>
  <c r="H45" i="1"/>
  <c r="H46" i="1"/>
  <c r="H47" i="1"/>
  <c r="E24" i="1"/>
  <c r="C10" i="2"/>
  <c r="B10" i="2"/>
  <c r="H9" i="2"/>
  <c r="G9" i="2"/>
  <c r="C9" i="2"/>
  <c r="B9" i="2"/>
  <c r="H8" i="2"/>
  <c r="G8" i="2"/>
  <c r="C8" i="2"/>
  <c r="B8" i="2"/>
  <c r="H7" i="2"/>
  <c r="G7" i="2"/>
  <c r="C7" i="2"/>
  <c r="B7" i="2"/>
  <c r="H44" i="1"/>
  <c r="H43" i="1"/>
  <c r="H42" i="1"/>
  <c r="H41" i="1"/>
  <c r="H40" i="1"/>
  <c r="E40" i="1"/>
  <c r="H37" i="1"/>
  <c r="H36" i="1"/>
  <c r="H39" i="1"/>
  <c r="H38" i="1"/>
  <c r="E38" i="1"/>
  <c r="H33" i="1"/>
  <c r="H32" i="1"/>
  <c r="E35" i="1"/>
  <c r="H35" i="1"/>
  <c r="E30" i="1"/>
  <c r="H34" i="1"/>
  <c r="H30" i="1"/>
  <c r="H31" i="1"/>
  <c r="H28" i="1"/>
  <c r="H24" i="1"/>
  <c r="H19" i="1"/>
  <c r="H15" i="1"/>
  <c r="H11" i="1"/>
  <c r="H7" i="1"/>
  <c r="E28" i="1"/>
  <c r="H29" i="1"/>
  <c r="E19" i="1"/>
  <c r="H20" i="1"/>
  <c r="H25" i="1"/>
  <c r="H26" i="1"/>
  <c r="H27" i="1"/>
  <c r="H23" i="1"/>
  <c r="H22" i="1"/>
  <c r="H21" i="1"/>
  <c r="H18" i="1"/>
  <c r="H17" i="1"/>
  <c r="H16" i="1"/>
  <c r="E15" i="1"/>
  <c r="E11" i="1"/>
  <c r="E7" i="1"/>
  <c r="E3" i="1"/>
  <c r="H3" i="1"/>
  <c r="H4" i="1"/>
  <c r="E4" i="2"/>
  <c r="D4" i="2"/>
  <c r="C4" i="2"/>
  <c r="B4" i="2"/>
  <c r="A4" i="2"/>
  <c r="H14" i="1"/>
  <c r="H13" i="1"/>
  <c r="H12" i="1"/>
  <c r="H10" i="1"/>
  <c r="H9" i="1"/>
  <c r="H8" i="1"/>
  <c r="H6" i="1"/>
  <c r="H5" i="1"/>
  <c r="D8" i="2" l="1"/>
  <c r="C11" i="2"/>
  <c r="D9" i="2"/>
  <c r="B11" i="2"/>
  <c r="D10" i="2"/>
  <c r="D7" i="2"/>
  <c r="D11" i="2" l="1"/>
</calcChain>
</file>

<file path=xl/sharedStrings.xml><?xml version="1.0" encoding="utf-8"?>
<sst xmlns="http://schemas.openxmlformats.org/spreadsheetml/2006/main" count="321" uniqueCount="121">
  <si>
    <t>PROJECT TRACKER</t>
  </si>
  <si>
    <t>CATEGORY</t>
  </si>
  <si>
    <t>ACTION</t>
  </si>
  <si>
    <t>STATUS</t>
  </si>
  <si>
    <t>PRIORITY</t>
  </si>
  <si>
    <t>HOURS</t>
  </si>
  <si>
    <t>START</t>
  </si>
  <si>
    <t>FINISH</t>
  </si>
  <si>
    <t>DURATION (DAYS)</t>
  </si>
  <si>
    <t>NOTES AND COMMENTS</t>
  </si>
  <si>
    <t>US-01 | As a user, I want to be able to see a dynamic UI that is updated after each message I send rather than a conversational back-and-forth with UI components.</t>
  </si>
  <si>
    <t>Total for Week</t>
  </si>
  <si>
    <t xml:space="preserve">  ↳ Task</t>
  </si>
  <si>
    <t>Remove UI Components from convo output (keep final summary)</t>
  </si>
  <si>
    <t>Complete</t>
  </si>
  <si>
    <t>Medium</t>
  </si>
  <si>
    <t>Move UI Drawer components into main area of UI</t>
  </si>
  <si>
    <t>Move current chat (user query, llm final summary) to floating window</t>
  </si>
  <si>
    <t>US-02 | As a user, I need to be able to see live/real-time data being streamed from backend to UI components.</t>
  </si>
  <si>
    <t>Research whether to send live updates like this MCP -&gt; Orchestrator -&gt; UI or MCP -&gt; UI</t>
  </si>
  <si>
    <t>High</t>
  </si>
  <si>
    <t>MCP -&gt; Orchestrator -&gt; UI</t>
  </si>
  <si>
    <t>Implement live stream using websockets</t>
  </si>
  <si>
    <t>Test accuracy and performance</t>
  </si>
  <si>
    <t>Low</t>
  </si>
  <si>
    <t>US-03 | As a user, I want to be able to use this system on Desktop, Browser, Tablet, Mobile, Watch, and TV.</t>
  </si>
  <si>
    <t>Convert React frontend to Flutter</t>
  </si>
  <si>
    <t>Ready to Start</t>
  </si>
  <si>
    <t>Connect Watch + TV to mobile device related to user (QR code shown on screen, scanned by mobile)</t>
  </si>
  <si>
    <t>Notification preferences</t>
  </si>
  <si>
    <t>US-04 | As a user, I need to be able to see the audit log of agent actions.</t>
  </si>
  <si>
    <t>Add button and container to bring up audit log.</t>
  </si>
  <si>
    <t>Save all agent actions in database.</t>
  </si>
  <si>
    <t>Connect frontend to backend to display agent audits.</t>
  </si>
  <si>
    <t>US-05 | As a user, I need to be able to upload a variety of file types.</t>
  </si>
  <si>
    <t>Add support for "normal" file type uploads (png, jpeg, md, csv, etc)</t>
  </si>
  <si>
    <t>Test normal file upload</t>
  </si>
  <si>
    <t>Add support for medical specific file type uploads (dicom, nzi, czi, etc)</t>
  </si>
  <si>
    <t>Create tools to read these files and return data.</t>
  </si>
  <si>
    <t>US-06 | As a user, I want to be able to provide feedback on the output of components. As a developer, I want the system to take this feedback and auto update tools that continue to produce errors.</t>
  </si>
  <si>
    <t>Add thumbs up/down -&gt; if thumbs down then show modal for feedback.</t>
  </si>
  <si>
    <t>Use the secondary LLM to read feedback and propose changes (every day), possibly create a PR for review.</t>
  </si>
  <si>
    <t>US-07 | As a developer, I need mock auth logic to test the system without having to actually log into the system.</t>
  </si>
  <si>
    <t>Reconnect VITE_MOCK_AUTH environment variable back to the system (or fix where its broken).</t>
  </si>
  <si>
    <t>US-08 | As a user, I want tool tips and a getting started tutorial.</t>
  </si>
  <si>
    <t>Write a guide.</t>
  </si>
  <si>
    <t>Add first user tutorial/walkthrough.</t>
  </si>
  <si>
    <t>Warning about not HIPAA compliant.</t>
  </si>
  <si>
    <t>Add it to the navbar as a link.</t>
  </si>
  <si>
    <t>US-09 | As a user, I want to use my own LLM subscription.</t>
  </si>
  <si>
    <t>Research if Astral can see the amount of tokens left.</t>
  </si>
  <si>
    <t>Can't see if you are going to run out of tokens :(, but will add token usage to frontend.</t>
  </si>
  <si>
    <t>Move LLM .env vars to frontend.</t>
  </si>
  <si>
    <t>US-10 | As a user, I want a condensed view of all the sidebar buttons.</t>
  </si>
  <si>
    <t>Add a settings/options/something button that shows all the new buttons (audit, tutorial,etc)</t>
  </si>
  <si>
    <t xml:space="preserve">US-11 | As a user, I want the new chat button to be on the sidebar above recent chats. </t>
  </si>
  <si>
    <t>Move new chat button in navbar to sidebar only.</t>
  </si>
  <si>
    <t>US-12 | As a user, I want the screen not to flash on page load and when new UI components are being added to the screen.</t>
  </si>
  <si>
    <t>Investigate why this is happening.</t>
  </si>
  <si>
    <t>Implement fix.</t>
  </si>
  <si>
    <t>US-13 | As a user, I want to be able to create and test a new agent through the UI.</t>
  </si>
  <si>
    <t>Fix the Agent creation flow to get to the agent test screen.</t>
  </si>
  <si>
    <t>Have the draft agent actually start running and responding to the user.</t>
  </si>
  <si>
    <t>Have the draft agent, on approval, get addded to the list of live agents.</t>
  </si>
  <si>
    <t>Make the agent the user created appear in my agents, not just public agents?</t>
  </si>
  <si>
    <t>Make it clear what agent is being used when I start a new chat or message</t>
  </si>
  <si>
    <t>The read writes etc that we turn on should be specific for each tool, make the 'i' pop-ups appear before the on button is switched on</t>
  </si>
  <si>
    <t>US-14 | As a user, I want to select the tools I want to call with a query.</t>
  </si>
  <si>
    <t>Add option in chat to allow user to pick which tools they want to use.</t>
  </si>
  <si>
    <t>Test to make sure system still respects the scopes and only looks at selected tools for a query.</t>
  </si>
  <si>
    <t>TIME &amp; EFFORT SUMMARY DASHBOARD</t>
  </si>
  <si>
    <t>Total Hours</t>
  </si>
  <si>
    <t>Tasks Complete</t>
  </si>
  <si>
    <t>In Progress</t>
  </si>
  <si>
    <t>Testing</t>
  </si>
  <si>
    <t>Status</t>
  </si>
  <si>
    <t>Task Count</t>
  </si>
  <si>
    <t>% of Hours</t>
  </si>
  <si>
    <t>Priority</t>
  </si>
  <si>
    <t>Tasks</t>
  </si>
  <si>
    <t>Hours</t>
  </si>
  <si>
    <t>Testing in Progress</t>
  </si>
  <si>
    <t>TOTAL</t>
  </si>
  <si>
    <t>ℹ️  Hours use the Fibonacci scale (1,2,3,5,8,13,21,34,55,89).  Duration on the Tracker sheet is auto-calculated: Finish − Start + 1.</t>
  </si>
  <si>
    <t>US-15 | As a user, I want to see progress notifications in the chat when my query is being processed.</t>
  </si>
  <si>
    <t>While waiting for tools to be aggregated, display messages like how claude does it: "sussing…, clauding…" etc.</t>
  </si>
  <si>
    <t>Output the steps that the system is taking. Instead of showing which tools are being called in the processing message, have those messages persist in the chat so a user can see what is being called.</t>
  </si>
  <si>
    <t>US-16 | As a user, I want realtime voice in/out with the system.</t>
  </si>
  <si>
    <t>Investigate this openai article and see how they are doing it: https://openai.com/index/delivering-low-latency-voice-ai-at-scale/</t>
  </si>
  <si>
    <t>Attempt to make the current voice in/out system based on the openai article to scale.</t>
  </si>
  <si>
    <t>Investigate this article and see how they are doing it: https://productonboarding.com/articles/why-product-tours-get-skipped</t>
  </si>
  <si>
    <t>Udpate the tutorial code to be less intrusive.</t>
  </si>
  <si>
    <t>Write better steps in the tutorial.</t>
  </si>
  <si>
    <t>US-17 | As a user, I want a better tutorial that won't make me want to skip it as soon as I see it.</t>
  </si>
  <si>
    <t>US-18 | As a user, I want a cohesive, unified generated UI instead of the components being sectioned off in their own components.</t>
  </si>
  <si>
    <t>Remove the UI containers.</t>
  </si>
  <si>
    <t>Autocondense UI and make it scrollable.</t>
  </si>
  <si>
    <t xml:space="preserve">US-19 | As a developer, I want to connect Classify, forecaster, and LLM factory as agents to this system. </t>
  </si>
  <si>
    <t>Create agent for Classify</t>
  </si>
  <si>
    <t>Create agent for Forecaster</t>
  </si>
  <si>
    <t>Create agent for LLM Factory</t>
  </si>
  <si>
    <t>US-20 | As a user, I want submit queries and have them run asynchronously, so I can navigate away from the session and get a notification when it is finished.</t>
  </si>
  <si>
    <t>Implement asynchronous</t>
  </si>
  <si>
    <t>Use vaidens piano agent to test ui components that play sound.</t>
  </si>
  <si>
    <t xml:space="preserve">  ↳ Task </t>
  </si>
  <si>
    <t>Claude for Excel</t>
  </si>
  <si>
    <t>Claude for PowerPoint</t>
  </si>
  <si>
    <t>Claude for Word</t>
  </si>
  <si>
    <t>Claude for Outlook</t>
  </si>
  <si>
    <t>Claude for building pitch templates, conducting validation reviews</t>
  </si>
  <si>
    <t xml:space="preserve">Claude Adaptive Runtime Intelligence </t>
  </si>
  <si>
    <t>Claude blender (it like debugs or batch applies changes across objects)</t>
  </si>
  <si>
    <t>Claude Adobe Creative Cloud</t>
  </si>
  <si>
    <t>Claude Canva Affinity</t>
  </si>
  <si>
    <t>Claude interactive artifacts/dadhboards</t>
  </si>
  <si>
    <t>Claude design</t>
  </si>
  <si>
    <t>an agent that will critique constituions in spec-driven dev</t>
  </si>
  <si>
    <t xml:space="preserve">An agent that can like visual graph networks like obsidan does </t>
  </si>
  <si>
    <t>Claude code review</t>
  </si>
  <si>
    <t>US-21 | As a user, I want the output ui components to be able to play sounds, if applicable.</t>
  </si>
  <si>
    <t xml:space="preserve">US-22 | As a user, I want all the Claude agents/connectors  :)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</si>
</sst>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2D3436"/>
      <name val="Arial"/>
      <charset val="1"/>
    </font>
    <font>
      <b/>
      <sz val="14"/>
      <color rgb="FFFFFFFF"/>
      <name val="Arial"/>
      <charset val="1"/>
    </font>
    <font>
      <b/>
      <sz val="20"/>
      <color rgb="FFFFFFFF"/>
      <name val="Arial"/>
      <charset val="1"/>
    </font>
    <font>
      <b/>
      <sz val="11"/>
      <name val="Cambria"/>
      <charset val="1"/>
    </font>
    <font>
      <i/>
      <sz val="9"/>
      <color rgb="FF666666"/>
      <name val="Arial"/>
      <charset val="1"/>
    </font>
    <font>
      <sz val="9"/>
      <color theme="1"/>
      <name val="Arial"/>
      <family val="2"/>
    </font>
    <font>
      <b/>
      <sz val="10"/>
      <color rgb="FF1F3864"/>
      <name val="Arial"/>
    </font>
    <font>
      <sz val="10"/>
      <color rgb="FF2D3436"/>
      <name val="Arial"/>
    </font>
    <font>
      <sz val="11"/>
      <color rgb="FF0061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D3436"/>
      </patternFill>
    </fill>
    <fill>
      <patternFill patternType="solid">
        <fgColor rgb="FF2C5282"/>
        <bgColor rgb="FF1F3864"/>
      </patternFill>
    </fill>
    <fill>
      <patternFill patternType="solid">
        <fgColor rgb="FFD6E4F7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7F9FC"/>
        <bgColor rgb="FFF9F9F9"/>
      </patternFill>
    </fill>
    <fill>
      <patternFill patternType="solid">
        <fgColor rgb="FF2E86AB"/>
        <bgColor rgb="FF4F81BD"/>
      </patternFill>
    </fill>
    <fill>
      <patternFill patternType="solid">
        <fgColor rgb="FFF0F4F8"/>
        <bgColor rgb="FFF7F9FC"/>
      </patternFill>
    </fill>
    <fill>
      <patternFill patternType="solid">
        <fgColor rgb="FF27AE60"/>
        <bgColor rgb="FF2E86AB"/>
      </patternFill>
    </fill>
    <fill>
      <patternFill patternType="solid">
        <fgColor rgb="FFE67E22"/>
        <bgColor rgb="FFFF9900"/>
      </patternFill>
    </fill>
    <fill>
      <patternFill patternType="solid">
        <fgColor rgb="FF3498DB"/>
        <bgColor rgb="FF2E86AB"/>
      </patternFill>
    </fill>
    <fill>
      <patternFill patternType="solid">
        <fgColor rgb="FF9B59B6"/>
        <bgColor rgb="FF878787"/>
      </patternFill>
    </fill>
    <fill>
      <patternFill patternType="solid">
        <fgColor rgb="FFFF4C4C"/>
        <bgColor rgb="FFC0504D"/>
      </patternFill>
    </fill>
    <fill>
      <patternFill patternType="solid">
        <fgColor rgb="FFFFB347"/>
        <bgColor rgb="FFFF9900"/>
      </patternFill>
    </fill>
    <fill>
      <patternFill patternType="solid">
        <fgColor rgb="FF6BCB77"/>
        <bgColor rgb="FF9BBB59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B0B0B0"/>
      </left>
      <right style="medium">
        <color rgb="FFB0B0B0"/>
      </right>
      <top style="medium">
        <color rgb="FFB0B0B0"/>
      </top>
      <bottom style="medium">
        <color rgb="FFB0B0B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2" fillId="16" borderId="0" applyNumberFormat="0" applyBorder="0" applyAlignment="0" applyProtection="0"/>
  </cellStyleXfs>
  <cellXfs count="5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indent="1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1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indent="1"/>
    </xf>
    <xf numFmtId="0" fontId="4" fillId="6" borderId="1" xfId="0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1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1" fontId="6" fillId="3" borderId="2" xfId="0" applyNumberFormat="1" applyFont="1" applyFill="1" applyBorder="1" applyAlignment="1">
      <alignment horizontal="center" vertical="center"/>
    </xf>
    <xf numFmtId="1" fontId="6" fillId="9" borderId="2" xfId="0" applyNumberFormat="1" applyFont="1" applyFill="1" applyBorder="1" applyAlignment="1">
      <alignment horizontal="center" vertical="center"/>
    </xf>
    <xf numFmtId="1" fontId="6" fillId="10" borderId="2" xfId="0" applyNumberFormat="1" applyFont="1" applyFill="1" applyBorder="1" applyAlignment="1">
      <alignment horizontal="center" vertical="center"/>
    </xf>
    <xf numFmtId="1" fontId="6" fillId="11" borderId="2" xfId="0" applyNumberFormat="1" applyFont="1" applyFill="1" applyBorder="1" applyAlignment="1">
      <alignment horizontal="center" vertical="center"/>
    </xf>
    <xf numFmtId="1" fontId="6" fillId="1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11" borderId="1" xfId="0" applyFont="1" applyFill="1" applyBorder="1"/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13" borderId="1" xfId="0" applyFont="1" applyFill="1" applyBorder="1"/>
    <xf numFmtId="0" fontId="2" fillId="10" borderId="1" xfId="0" applyFont="1" applyFill="1" applyBorder="1"/>
    <xf numFmtId="0" fontId="2" fillId="14" borderId="1" xfId="0" applyFont="1" applyFill="1" applyBorder="1"/>
    <xf numFmtId="0" fontId="2" fillId="12" borderId="1" xfId="0" applyFont="1" applyFill="1" applyBorder="1"/>
    <xf numFmtId="0" fontId="2" fillId="15" borderId="1" xfId="0" applyFont="1" applyFill="1" applyBorder="1"/>
    <xf numFmtId="0" fontId="2" fillId="9" borderId="1" xfId="0" applyFont="1" applyFill="1" applyBorder="1"/>
    <xf numFmtId="0" fontId="2" fillId="2" borderId="1" xfId="0" applyFont="1" applyFill="1" applyBorder="1"/>
    <xf numFmtId="1" fontId="7" fillId="0" borderId="1" xfId="0" applyNumberFormat="1" applyFont="1" applyBorder="1"/>
    <xf numFmtId="165" fontId="7" fillId="0" borderId="1" xfId="0" applyNumberFormat="1" applyFont="1" applyBorder="1"/>
    <xf numFmtId="0" fontId="9" fillId="8" borderId="2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inden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/>
    </xf>
    <xf numFmtId="164" fontId="11" fillId="5" borderId="1" xfId="0" applyNumberFormat="1" applyFont="1" applyFill="1" applyBorder="1" applyAlignment="1">
      <alignment vertical="center"/>
    </xf>
    <xf numFmtId="1" fontId="11" fillId="5" borderId="1" xfId="0" applyNumberFormat="1" applyFont="1" applyFill="1" applyBorder="1" applyAlignment="1">
      <alignment vertical="center"/>
    </xf>
    <xf numFmtId="0" fontId="11" fillId="6" borderId="1" xfId="0" applyFont="1" applyFill="1" applyBorder="1" applyAlignment="1">
      <alignment vertical="center" indent="1"/>
    </xf>
    <xf numFmtId="0" fontId="11" fillId="6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/>
    </xf>
    <xf numFmtId="1" fontId="11" fillId="6" borderId="1" xfId="0" applyNumberFormat="1" applyFont="1" applyFill="1" applyBorder="1" applyAlignment="1">
      <alignment vertical="center"/>
    </xf>
    <xf numFmtId="14" fontId="10" fillId="4" borderId="1" xfId="0" applyNumberFormat="1" applyFont="1" applyFill="1" applyBorder="1" applyAlignment="1">
      <alignment vertical="center"/>
    </xf>
    <xf numFmtId="0" fontId="12" fillId="16" borderId="0" xfId="1"/>
    <xf numFmtId="0" fontId="10" fillId="4" borderId="3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2">
    <cellStyle name="Good" xfId="1" builtinId="26"/>
    <cellStyle name="Normal" xfId="0" builtinId="0"/>
  </cellStyles>
  <dxfs count="7">
    <dxf>
      <font>
        <b/>
        <color rgb="FFFFFFFF"/>
        <name val="Arial"/>
        <charset val="1"/>
      </font>
      <fill>
        <patternFill>
          <bgColor rgb="FF6BCB77"/>
        </patternFill>
      </fill>
    </dxf>
    <dxf>
      <font>
        <b/>
        <color rgb="FFFFFFFF"/>
        <name val="Arial"/>
        <charset val="1"/>
      </font>
      <fill>
        <patternFill>
          <bgColor rgb="FFFFB347"/>
        </patternFill>
      </fill>
    </dxf>
    <dxf>
      <font>
        <b/>
        <color rgb="FFFFFFFF"/>
        <name val="Arial"/>
        <charset val="1"/>
      </font>
      <fill>
        <patternFill>
          <bgColor rgb="FFFF4C4C"/>
        </patternFill>
      </fill>
    </dxf>
    <dxf>
      <font>
        <b/>
        <color rgb="FFFFFFFF"/>
        <name val="Arial"/>
        <charset val="1"/>
      </font>
      <fill>
        <patternFill>
          <bgColor rgb="FF3498DB"/>
        </patternFill>
      </fill>
    </dxf>
    <dxf>
      <font>
        <b/>
        <color rgb="FFFFFFFF"/>
        <name val="Arial"/>
        <charset val="1"/>
      </font>
      <fill>
        <patternFill>
          <bgColor rgb="FFE67E22"/>
        </patternFill>
      </fill>
    </dxf>
    <dxf>
      <font>
        <b/>
        <color rgb="FFFFFFFF"/>
        <name val="Arial"/>
        <charset val="1"/>
      </font>
      <fill>
        <patternFill>
          <bgColor rgb="FF9B59B6"/>
        </patternFill>
      </fill>
    </dxf>
    <dxf>
      <font>
        <b/>
        <color rgb="FFFFFFFF"/>
        <name val="Arial"/>
        <charset val="1"/>
      </font>
      <fill>
        <patternFill>
          <bgColor rgb="FF27AE6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B0B0B0"/>
      <rgbColor rgb="FF878787"/>
      <rgbColor rgb="FF9999FF"/>
      <rgbColor rgb="FFC0504D"/>
      <rgbColor rgb="FFF9F9F9"/>
      <rgbColor rgb="FFF0F4F8"/>
      <rgbColor rgb="FF660066"/>
      <rgbColor rgb="FFFF4C4C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F7F9FC"/>
      <rgbColor rgb="FFFFFF99"/>
      <rgbColor rgb="FF6BCB77"/>
      <rgbColor rgb="FFFF99CC"/>
      <rgbColor rgb="FFCC99FF"/>
      <rgbColor rgb="FFD9D9D9"/>
      <rgbColor rgb="FF4F81BD"/>
      <rgbColor rgb="FF3498DB"/>
      <rgbColor rgb="FF9BBB59"/>
      <rgbColor rgb="FFFFB347"/>
      <rgbColor rgb="FFFF9900"/>
      <rgbColor rgb="FFE67E22"/>
      <rgbColor rgb="FF666666"/>
      <rgbColor rgb="FFAAAAAA"/>
      <rgbColor rgb="FF1F3864"/>
      <rgbColor rgb="FF27AE60"/>
      <rgbColor rgb="FF003300"/>
      <rgbColor rgb="FF333300"/>
      <rgbColor rgb="FF993300"/>
      <rgbColor rgb="FF9B59B6"/>
      <rgbColor rgb="FF2C5282"/>
      <rgbColor rgb="FF2D343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Hours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Summary!$C$6</c:f>
              <c:strCache>
                <c:ptCount val="1"/>
                <c:pt idx="0">
                  <c:v>Total 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Summary!$A$7:$A$10</c:f>
              <c:strCache>
                <c:ptCount val="4"/>
                <c:pt idx="0">
                  <c:v>Ready to Start</c:v>
                </c:pt>
                <c:pt idx="1">
                  <c:v>In Progress</c:v>
                </c:pt>
                <c:pt idx="2">
                  <c:v>Testing in Progress</c:v>
                </c:pt>
                <c:pt idx="3">
                  <c:v>Complete</c:v>
                </c:pt>
              </c:strCache>
            </c:strRef>
          </c:cat>
          <c:val>
            <c:numRef>
              <c:f>Summary!$C$7:$C$10</c:f>
              <c:numCache>
                <c:formatCode>0</c:formatCode>
                <c:ptCount val="4"/>
                <c:pt idx="0">
                  <c:v>55</c:v>
                </c:pt>
                <c:pt idx="1">
                  <c:v>8</c:v>
                </c:pt>
                <c:pt idx="2">
                  <c:v>0</c:v>
                </c:pt>
                <c:pt idx="3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4-4E74-ADA0-7FACE0891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743177"/>
        <c:axId val="93370948"/>
      </c:barChart>
      <c:catAx>
        <c:axId val="667431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70948"/>
        <c:crosses val="autoZero"/>
        <c:auto val="1"/>
        <c:lblAlgn val="ctr"/>
        <c:lblOffset val="100"/>
        <c:noMultiLvlLbl val="0"/>
      </c:catAx>
      <c:valAx>
        <c:axId val="93370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743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Tasks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Summary!$G$6</c:f>
              <c:strCache>
                <c:ptCount val="1"/>
                <c:pt idx="0">
                  <c:v>Tasks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DB3-4631-93BD-54B8FBE7036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6DB3-4631-93BD-54B8FBE7036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6DB3-4631-93BD-54B8FBE7036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B3-4631-93BD-54B8FBE7036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B3-4631-93BD-54B8FBE7036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B3-4631-93BD-54B8FBE70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Summary!$F$7:$F$9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Summary!$G$7:$G$9</c:f>
              <c:numCache>
                <c:formatCode>0</c:formatCode>
                <c:ptCount val="3"/>
                <c:pt idx="0">
                  <c:v>15</c:v>
                </c:pt>
                <c:pt idx="1">
                  <c:v>17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B3-4631-93BD-54B8FBE70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4</xdr:col>
      <xdr:colOff>1460</xdr:colOff>
      <xdr:row>30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513360</xdr:colOff>
      <xdr:row>30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90"/>
  <sheetViews>
    <sheetView showGridLines="0" tabSelected="1" zoomScaleNormal="100" workbookViewId="0">
      <pane ySplit="2" topLeftCell="A57" activePane="bottomLeft" state="frozen"/>
      <selection pane="bottomLeft" activeCell="F65" sqref="F65"/>
    </sheetView>
  </sheetViews>
  <sheetFormatPr defaultColWidth="8.5703125" defaultRowHeight="15" x14ac:dyDescent="0.25"/>
  <cols>
    <col min="1" max="1" width="29.28515625" bestFit="1" customWidth="1"/>
    <col min="2" max="2" width="40" customWidth="1"/>
    <col min="3" max="3" width="22" customWidth="1"/>
    <col min="4" max="4" width="14" customWidth="1"/>
    <col min="5" max="5" width="10" customWidth="1"/>
    <col min="6" max="7" width="14" customWidth="1"/>
    <col min="8" max="8" width="18" customWidth="1"/>
    <col min="9" max="9" width="45" customWidth="1"/>
    <col min="11" max="11" width="14.140625" bestFit="1" customWidth="1"/>
  </cols>
  <sheetData>
    <row r="1" spans="1:12" ht="31.5" customHeight="1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</row>
    <row r="2" spans="1:12" ht="27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2" ht="51" customHeight="1" x14ac:dyDescent="0.25">
      <c r="A3" s="50" t="s">
        <v>10</v>
      </c>
      <c r="B3" s="50"/>
      <c r="C3" s="2"/>
      <c r="D3" s="2"/>
      <c r="E3" s="2">
        <f>SUM(E4:E6)</f>
        <v>5</v>
      </c>
      <c r="F3" s="34">
        <v>46120</v>
      </c>
      <c r="G3" s="46">
        <v>46120</v>
      </c>
      <c r="H3" s="2">
        <f t="shared" ref="H3:H35" si="0">IF(AND(F3&lt;&gt;"",G3&lt;&gt;""),G3-F3+1,"")</f>
        <v>1</v>
      </c>
      <c r="I3" s="3"/>
      <c r="K3" s="47" t="s">
        <v>11</v>
      </c>
      <c r="L3" s="47">
        <f>SUMIFS(E:E, C:C, "Complete", A:A, "*Task*", G:G, "&gt;=" &amp; DATE(2026,5,10), G:G, "&lt;=" &amp; DATE(2026,5,16))</f>
        <v>11</v>
      </c>
    </row>
    <row r="4" spans="1:12" ht="25.5" x14ac:dyDescent="0.25">
      <c r="A4" s="4" t="s">
        <v>12</v>
      </c>
      <c r="B4" s="8" t="s">
        <v>13</v>
      </c>
      <c r="C4" s="5" t="s">
        <v>14</v>
      </c>
      <c r="D4" s="5" t="s">
        <v>15</v>
      </c>
      <c r="E4" s="5">
        <v>1</v>
      </c>
      <c r="F4" s="6">
        <v>46120</v>
      </c>
      <c r="G4" s="6">
        <v>46120</v>
      </c>
      <c r="H4" s="7">
        <f t="shared" si="0"/>
        <v>1</v>
      </c>
      <c r="I4" s="8"/>
    </row>
    <row r="5" spans="1:12" ht="25.5" x14ac:dyDescent="0.25">
      <c r="A5" s="9" t="s">
        <v>12</v>
      </c>
      <c r="B5" s="13" t="s">
        <v>16</v>
      </c>
      <c r="C5" s="10" t="s">
        <v>14</v>
      </c>
      <c r="D5" s="10" t="s">
        <v>15</v>
      </c>
      <c r="E5" s="10">
        <v>2</v>
      </c>
      <c r="F5" s="6">
        <v>46120</v>
      </c>
      <c r="G5" s="6">
        <v>46120</v>
      </c>
      <c r="H5" s="12">
        <f t="shared" si="0"/>
        <v>1</v>
      </c>
      <c r="I5" s="13"/>
    </row>
    <row r="6" spans="1:12" ht="25.5" x14ac:dyDescent="0.25">
      <c r="A6" s="4" t="s">
        <v>12</v>
      </c>
      <c r="B6" s="8" t="s">
        <v>17</v>
      </c>
      <c r="C6" s="5" t="s">
        <v>14</v>
      </c>
      <c r="D6" s="5" t="s">
        <v>15</v>
      </c>
      <c r="E6" s="5">
        <v>2</v>
      </c>
      <c r="F6" s="6">
        <v>46120</v>
      </c>
      <c r="G6" s="6">
        <v>46120</v>
      </c>
      <c r="H6" s="7">
        <f t="shared" si="0"/>
        <v>1</v>
      </c>
      <c r="I6" s="8"/>
    </row>
    <row r="7" spans="1:12" ht="39.75" customHeight="1" x14ac:dyDescent="0.25">
      <c r="A7" s="50" t="s">
        <v>18</v>
      </c>
      <c r="B7" s="50"/>
      <c r="C7" s="2"/>
      <c r="D7" s="2"/>
      <c r="E7" s="2">
        <f>SUM(E8:E10)</f>
        <v>14</v>
      </c>
      <c r="F7" s="46">
        <v>46120</v>
      </c>
      <c r="G7" s="46">
        <v>46125</v>
      </c>
      <c r="H7" s="2">
        <f t="shared" si="0"/>
        <v>6</v>
      </c>
      <c r="I7" s="3"/>
    </row>
    <row r="8" spans="1:12" ht="25.5" x14ac:dyDescent="0.25">
      <c r="A8" s="4" t="s">
        <v>12</v>
      </c>
      <c r="B8" s="8" t="s">
        <v>19</v>
      </c>
      <c r="C8" s="5" t="s">
        <v>14</v>
      </c>
      <c r="D8" s="5" t="s">
        <v>20</v>
      </c>
      <c r="E8" s="5">
        <v>1</v>
      </c>
      <c r="F8" s="6">
        <v>46120</v>
      </c>
      <c r="G8" s="6">
        <v>46120</v>
      </c>
      <c r="H8" s="7">
        <f t="shared" si="0"/>
        <v>1</v>
      </c>
      <c r="I8" s="8" t="s">
        <v>21</v>
      </c>
    </row>
    <row r="9" spans="1:12" ht="21.75" customHeight="1" x14ac:dyDescent="0.25">
      <c r="A9" s="9" t="s">
        <v>12</v>
      </c>
      <c r="B9" s="13" t="s">
        <v>22</v>
      </c>
      <c r="C9" s="10" t="s">
        <v>14</v>
      </c>
      <c r="D9" s="10" t="s">
        <v>20</v>
      </c>
      <c r="E9" s="10">
        <v>8</v>
      </c>
      <c r="F9" s="11">
        <v>46120</v>
      </c>
      <c r="G9" s="6">
        <v>46121</v>
      </c>
      <c r="H9" s="12">
        <f t="shared" si="0"/>
        <v>2</v>
      </c>
      <c r="I9" s="13"/>
    </row>
    <row r="10" spans="1:12" ht="21.75" customHeight="1" x14ac:dyDescent="0.25">
      <c r="A10" s="4" t="s">
        <v>12</v>
      </c>
      <c r="B10" s="8" t="s">
        <v>23</v>
      </c>
      <c r="C10" s="5" t="s">
        <v>14</v>
      </c>
      <c r="D10" s="5" t="s">
        <v>24</v>
      </c>
      <c r="E10" s="5">
        <v>5</v>
      </c>
      <c r="F10" s="6">
        <v>46121</v>
      </c>
      <c r="G10" s="6">
        <v>46125</v>
      </c>
      <c r="H10" s="7">
        <f t="shared" si="0"/>
        <v>5</v>
      </c>
      <c r="I10" s="8"/>
    </row>
    <row r="11" spans="1:12" ht="36" customHeight="1" x14ac:dyDescent="0.25">
      <c r="A11" s="50" t="s">
        <v>25</v>
      </c>
      <c r="B11" s="50"/>
      <c r="C11" s="2"/>
      <c r="D11" s="2"/>
      <c r="E11" s="2">
        <f>SUM(E12:E14)</f>
        <v>31</v>
      </c>
      <c r="F11" s="2"/>
      <c r="G11" s="2"/>
      <c r="H11" s="2" t="str">
        <f t="shared" si="0"/>
        <v/>
      </c>
      <c r="I11" s="3"/>
    </row>
    <row r="12" spans="1:12" x14ac:dyDescent="0.25">
      <c r="A12" s="4" t="s">
        <v>12</v>
      </c>
      <c r="B12" s="8" t="s">
        <v>26</v>
      </c>
      <c r="C12" s="5" t="s">
        <v>27</v>
      </c>
      <c r="D12" s="5" t="s">
        <v>24</v>
      </c>
      <c r="E12" s="5">
        <v>21</v>
      </c>
      <c r="F12" s="6"/>
      <c r="G12" s="6"/>
      <c r="H12" s="7" t="str">
        <f t="shared" si="0"/>
        <v/>
      </c>
      <c r="I12" s="8"/>
    </row>
    <row r="13" spans="1:12" ht="38.25" x14ac:dyDescent="0.25">
      <c r="A13" s="9" t="s">
        <v>12</v>
      </c>
      <c r="B13" s="13" t="s">
        <v>28</v>
      </c>
      <c r="C13" s="10" t="s">
        <v>27</v>
      </c>
      <c r="D13" s="10" t="s">
        <v>24</v>
      </c>
      <c r="E13" s="10">
        <v>8</v>
      </c>
      <c r="F13" s="11"/>
      <c r="G13" s="11"/>
      <c r="H13" s="12" t="str">
        <f t="shared" si="0"/>
        <v/>
      </c>
      <c r="I13" s="13"/>
    </row>
    <row r="14" spans="1:12" x14ac:dyDescent="0.25">
      <c r="A14" s="4" t="s">
        <v>12</v>
      </c>
      <c r="B14" s="8" t="s">
        <v>29</v>
      </c>
      <c r="C14" s="5" t="s">
        <v>27</v>
      </c>
      <c r="D14" s="5" t="s">
        <v>24</v>
      </c>
      <c r="E14" s="5">
        <v>2</v>
      </c>
      <c r="F14" s="6"/>
      <c r="G14" s="6"/>
      <c r="H14" s="7" t="str">
        <f t="shared" si="0"/>
        <v/>
      </c>
      <c r="I14" s="8"/>
    </row>
    <row r="15" spans="1:12" ht="34.5" customHeight="1" x14ac:dyDescent="0.25">
      <c r="A15" s="50" t="s">
        <v>30</v>
      </c>
      <c r="B15" s="50"/>
      <c r="C15" s="2"/>
      <c r="D15" s="2"/>
      <c r="E15" s="2">
        <f>SUM(E16:E18)</f>
        <v>6</v>
      </c>
      <c r="F15" s="34">
        <v>46140</v>
      </c>
      <c r="G15" s="34">
        <v>46140</v>
      </c>
      <c r="H15" s="2">
        <f t="shared" si="0"/>
        <v>1</v>
      </c>
      <c r="I15" s="3"/>
    </row>
    <row r="16" spans="1:12" ht="25.5" x14ac:dyDescent="0.25">
      <c r="A16" s="4" t="s">
        <v>12</v>
      </c>
      <c r="B16" s="8" t="s">
        <v>31</v>
      </c>
      <c r="C16" s="5" t="s">
        <v>14</v>
      </c>
      <c r="D16" s="5" t="s">
        <v>20</v>
      </c>
      <c r="E16" s="5">
        <v>1</v>
      </c>
      <c r="F16" s="6">
        <v>46140</v>
      </c>
      <c r="G16" s="6">
        <v>46140</v>
      </c>
      <c r="H16" s="7">
        <f t="shared" si="0"/>
        <v>1</v>
      </c>
      <c r="I16" s="8"/>
    </row>
    <row r="17" spans="1:9" x14ac:dyDescent="0.25">
      <c r="A17" s="9" t="s">
        <v>12</v>
      </c>
      <c r="B17" s="13" t="s">
        <v>32</v>
      </c>
      <c r="C17" s="10" t="s">
        <v>14</v>
      </c>
      <c r="D17" s="10" t="s">
        <v>20</v>
      </c>
      <c r="E17" s="10">
        <v>2</v>
      </c>
      <c r="F17" s="6">
        <v>46140</v>
      </c>
      <c r="G17" s="6">
        <v>46140</v>
      </c>
      <c r="H17" s="12">
        <f t="shared" si="0"/>
        <v>1</v>
      </c>
      <c r="I17" s="13"/>
    </row>
    <row r="18" spans="1:9" ht="25.5" x14ac:dyDescent="0.25">
      <c r="A18" s="4" t="s">
        <v>12</v>
      </c>
      <c r="B18" s="8" t="s">
        <v>33</v>
      </c>
      <c r="C18" s="5" t="s">
        <v>14</v>
      </c>
      <c r="D18" s="5" t="s">
        <v>20</v>
      </c>
      <c r="E18" s="5">
        <v>3</v>
      </c>
      <c r="F18" s="6">
        <v>46140</v>
      </c>
      <c r="G18" s="6">
        <v>46140</v>
      </c>
      <c r="H18" s="7">
        <f t="shared" si="0"/>
        <v>1</v>
      </c>
      <c r="I18" s="8"/>
    </row>
    <row r="19" spans="1:9" ht="36" customHeight="1" x14ac:dyDescent="0.25">
      <c r="A19" s="50" t="s">
        <v>34</v>
      </c>
      <c r="B19" s="50"/>
      <c r="C19" s="2"/>
      <c r="D19" s="2"/>
      <c r="E19" s="2">
        <f>SUM(E20:E23)</f>
        <v>11</v>
      </c>
      <c r="F19" s="34">
        <v>46125</v>
      </c>
      <c r="G19" s="34">
        <v>46129</v>
      </c>
      <c r="H19" s="2">
        <f t="shared" si="0"/>
        <v>5</v>
      </c>
      <c r="I19" s="3"/>
    </row>
    <row r="20" spans="1:9" ht="25.5" x14ac:dyDescent="0.25">
      <c r="A20" s="37" t="s">
        <v>12</v>
      </c>
      <c r="B20" s="38" t="s">
        <v>35</v>
      </c>
      <c r="C20" s="39" t="s">
        <v>14</v>
      </c>
      <c r="D20" s="39" t="s">
        <v>15</v>
      </c>
      <c r="E20" s="39">
        <v>2</v>
      </c>
      <c r="F20" s="40">
        <v>46125</v>
      </c>
      <c r="G20" s="40">
        <v>46125</v>
      </c>
      <c r="H20" s="41">
        <f t="shared" si="0"/>
        <v>1</v>
      </c>
      <c r="I20" s="38"/>
    </row>
    <row r="21" spans="1:9" x14ac:dyDescent="0.25">
      <c r="A21" s="4" t="s">
        <v>12</v>
      </c>
      <c r="B21" s="8" t="s">
        <v>36</v>
      </c>
      <c r="C21" s="5" t="s">
        <v>14</v>
      </c>
      <c r="D21" s="5" t="s">
        <v>15</v>
      </c>
      <c r="E21" s="5">
        <v>2</v>
      </c>
      <c r="F21" s="40">
        <v>46125</v>
      </c>
      <c r="G21" s="6">
        <v>46125</v>
      </c>
      <c r="H21" s="7">
        <f t="shared" si="0"/>
        <v>1</v>
      </c>
      <c r="I21" s="8"/>
    </row>
    <row r="22" spans="1:9" ht="25.5" x14ac:dyDescent="0.25">
      <c r="A22" s="9" t="s">
        <v>12</v>
      </c>
      <c r="B22" s="13" t="s">
        <v>37</v>
      </c>
      <c r="C22" s="10" t="s">
        <v>14</v>
      </c>
      <c r="D22" s="10" t="s">
        <v>15</v>
      </c>
      <c r="E22" s="10">
        <v>2</v>
      </c>
      <c r="F22" s="11">
        <v>46129</v>
      </c>
      <c r="G22" s="6">
        <v>46129</v>
      </c>
      <c r="H22" s="12">
        <f t="shared" si="0"/>
        <v>1</v>
      </c>
      <c r="I22" s="13"/>
    </row>
    <row r="23" spans="1:9" ht="24.75" customHeight="1" x14ac:dyDescent="0.25">
      <c r="A23" s="4" t="s">
        <v>12</v>
      </c>
      <c r="B23" s="8" t="s">
        <v>38</v>
      </c>
      <c r="C23" s="5" t="s">
        <v>14</v>
      </c>
      <c r="D23" s="5" t="s">
        <v>15</v>
      </c>
      <c r="E23" s="5">
        <v>5</v>
      </c>
      <c r="F23" s="40">
        <v>46129</v>
      </c>
      <c r="G23" s="6">
        <v>46129</v>
      </c>
      <c r="H23" s="7">
        <f t="shared" si="0"/>
        <v>1</v>
      </c>
      <c r="I23" s="8"/>
    </row>
    <row r="24" spans="1:9" ht="48.75" customHeight="1" x14ac:dyDescent="0.25">
      <c r="A24" s="48" t="s">
        <v>39</v>
      </c>
      <c r="B24" s="48"/>
      <c r="C24" s="35"/>
      <c r="D24" s="35"/>
      <c r="E24" s="35">
        <f>SUM(E25:E27)</f>
        <v>10</v>
      </c>
      <c r="F24" s="34">
        <v>46140</v>
      </c>
      <c r="G24" s="34">
        <v>46143</v>
      </c>
      <c r="H24" s="35">
        <f t="shared" si="0"/>
        <v>4</v>
      </c>
      <c r="I24" s="36"/>
    </row>
    <row r="25" spans="1:9" ht="25.5" x14ac:dyDescent="0.25">
      <c r="A25" s="37" t="s">
        <v>12</v>
      </c>
      <c r="B25" s="38" t="s">
        <v>40</v>
      </c>
      <c r="C25" s="39" t="s">
        <v>14</v>
      </c>
      <c r="D25" s="39" t="s">
        <v>24</v>
      </c>
      <c r="E25" s="39">
        <v>1</v>
      </c>
      <c r="F25" s="6">
        <v>46140</v>
      </c>
      <c r="G25" s="6">
        <v>46140</v>
      </c>
      <c r="H25" s="41">
        <f t="shared" si="0"/>
        <v>1</v>
      </c>
      <c r="I25" s="38"/>
    </row>
    <row r="26" spans="1:9" ht="38.25" x14ac:dyDescent="0.25">
      <c r="A26" s="42" t="s">
        <v>12</v>
      </c>
      <c r="B26" s="43" t="s">
        <v>41</v>
      </c>
      <c r="C26" s="44" t="s">
        <v>14</v>
      </c>
      <c r="D26" s="44" t="s">
        <v>24</v>
      </c>
      <c r="E26" s="44">
        <v>1</v>
      </c>
      <c r="F26" s="6">
        <v>46140</v>
      </c>
      <c r="G26" s="6">
        <v>46140</v>
      </c>
      <c r="H26" s="45">
        <f t="shared" si="0"/>
        <v>1</v>
      </c>
      <c r="I26" s="43"/>
    </row>
    <row r="27" spans="1:9" ht="25.5" x14ac:dyDescent="0.25">
      <c r="A27" s="37" t="s">
        <v>12</v>
      </c>
      <c r="B27" s="38" t="s">
        <v>38</v>
      </c>
      <c r="C27" s="39" t="s">
        <v>14</v>
      </c>
      <c r="D27" s="39" t="s">
        <v>24</v>
      </c>
      <c r="E27" s="39">
        <v>8</v>
      </c>
      <c r="F27" s="6">
        <v>46140</v>
      </c>
      <c r="G27" s="6">
        <v>46140</v>
      </c>
      <c r="H27" s="41">
        <f t="shared" si="0"/>
        <v>1</v>
      </c>
      <c r="I27" s="38"/>
    </row>
    <row r="28" spans="1:9" ht="32.25" customHeight="1" x14ac:dyDescent="0.25">
      <c r="A28" s="48" t="s">
        <v>42</v>
      </c>
      <c r="B28" s="48"/>
      <c r="C28" s="35"/>
      <c r="D28" s="35"/>
      <c r="E28" s="35">
        <f>SUM(E29:E29)</f>
        <v>2</v>
      </c>
      <c r="F28" s="46">
        <v>46125</v>
      </c>
      <c r="G28" s="46">
        <v>46129</v>
      </c>
      <c r="H28" s="35">
        <f t="shared" si="0"/>
        <v>5</v>
      </c>
      <c r="I28" s="36"/>
    </row>
    <row r="29" spans="1:9" ht="38.25" x14ac:dyDescent="0.25">
      <c r="A29" s="37" t="s">
        <v>12</v>
      </c>
      <c r="B29" s="38" t="s">
        <v>43</v>
      </c>
      <c r="C29" s="39" t="s">
        <v>14</v>
      </c>
      <c r="D29" s="39" t="s">
        <v>15</v>
      </c>
      <c r="E29" s="39">
        <v>2</v>
      </c>
      <c r="F29" s="40">
        <v>46125</v>
      </c>
      <c r="G29" s="40">
        <v>46129</v>
      </c>
      <c r="H29" s="41">
        <f t="shared" si="0"/>
        <v>5</v>
      </c>
      <c r="I29" s="38"/>
    </row>
    <row r="30" spans="1:9" ht="44.45" customHeight="1" x14ac:dyDescent="0.25">
      <c r="A30" s="48" t="s">
        <v>44</v>
      </c>
      <c r="B30" s="48"/>
      <c r="C30" s="35"/>
      <c r="D30" s="35"/>
      <c r="E30" s="35">
        <f>SUM(E31:E34)</f>
        <v>6</v>
      </c>
      <c r="F30" s="34">
        <v>46140</v>
      </c>
      <c r="G30" s="34">
        <v>46140</v>
      </c>
      <c r="H30" s="35">
        <f t="shared" si="0"/>
        <v>1</v>
      </c>
      <c r="I30" s="36"/>
    </row>
    <row r="31" spans="1:9" x14ac:dyDescent="0.25">
      <c r="A31" s="37" t="s">
        <v>12</v>
      </c>
      <c r="B31" s="38" t="s">
        <v>45</v>
      </c>
      <c r="C31" s="39" t="s">
        <v>14</v>
      </c>
      <c r="D31" s="39" t="s">
        <v>24</v>
      </c>
      <c r="E31" s="39">
        <v>1</v>
      </c>
      <c r="F31" s="6">
        <v>46140</v>
      </c>
      <c r="G31" s="6">
        <v>46140</v>
      </c>
      <c r="H31" s="41">
        <f t="shared" si="0"/>
        <v>1</v>
      </c>
      <c r="I31" s="38"/>
    </row>
    <row r="32" spans="1:9" x14ac:dyDescent="0.25">
      <c r="A32" s="37" t="s">
        <v>12</v>
      </c>
      <c r="B32" s="38" t="s">
        <v>46</v>
      </c>
      <c r="C32" s="39" t="s">
        <v>14</v>
      </c>
      <c r="D32" s="39" t="s">
        <v>24</v>
      </c>
      <c r="E32" s="39">
        <v>3</v>
      </c>
      <c r="F32" s="6">
        <v>46140</v>
      </c>
      <c r="G32" s="6">
        <v>46140</v>
      </c>
      <c r="H32" s="41">
        <f t="shared" si="0"/>
        <v>1</v>
      </c>
      <c r="I32" s="38"/>
    </row>
    <row r="33" spans="1:9" x14ac:dyDescent="0.25">
      <c r="A33" s="37" t="s">
        <v>12</v>
      </c>
      <c r="B33" s="38" t="s">
        <v>47</v>
      </c>
      <c r="C33" s="39" t="s">
        <v>14</v>
      </c>
      <c r="D33" s="39" t="s">
        <v>24</v>
      </c>
      <c r="E33" s="39">
        <v>1</v>
      </c>
      <c r="F33" s="6">
        <v>46140</v>
      </c>
      <c r="G33" s="6">
        <v>46140</v>
      </c>
      <c r="H33" s="41">
        <f t="shared" si="0"/>
        <v>1</v>
      </c>
      <c r="I33" s="38"/>
    </row>
    <row r="34" spans="1:9" x14ac:dyDescent="0.25">
      <c r="A34" s="42" t="s">
        <v>12</v>
      </c>
      <c r="B34" s="43" t="s">
        <v>48</v>
      </c>
      <c r="C34" s="44" t="s">
        <v>14</v>
      </c>
      <c r="D34" s="44" t="s">
        <v>24</v>
      </c>
      <c r="E34" s="44">
        <v>1</v>
      </c>
      <c r="F34" s="6">
        <v>46140</v>
      </c>
      <c r="G34" s="6">
        <v>46140</v>
      </c>
      <c r="H34" s="45">
        <f t="shared" si="0"/>
        <v>1</v>
      </c>
      <c r="I34" s="38"/>
    </row>
    <row r="35" spans="1:9" ht="35.450000000000003" customHeight="1" x14ac:dyDescent="0.25">
      <c r="A35" s="48" t="s">
        <v>49</v>
      </c>
      <c r="B35" s="49"/>
      <c r="C35" s="35"/>
      <c r="D35" s="35"/>
      <c r="E35" s="35">
        <f>SUM(E36:E37)</f>
        <v>4</v>
      </c>
      <c r="F35" s="34">
        <v>46140</v>
      </c>
      <c r="G35" s="46">
        <v>46140</v>
      </c>
      <c r="H35" s="35">
        <f t="shared" si="0"/>
        <v>1</v>
      </c>
      <c r="I35" s="36"/>
    </row>
    <row r="36" spans="1:9" ht="25.5" x14ac:dyDescent="0.25">
      <c r="A36" s="37" t="s">
        <v>12</v>
      </c>
      <c r="B36" s="38" t="s">
        <v>50</v>
      </c>
      <c r="C36" s="39" t="s">
        <v>14</v>
      </c>
      <c r="D36" s="39" t="s">
        <v>24</v>
      </c>
      <c r="E36" s="39">
        <v>1</v>
      </c>
      <c r="F36" s="6">
        <v>46140</v>
      </c>
      <c r="G36" s="6">
        <v>46140</v>
      </c>
      <c r="H36" s="41">
        <f>IF(AND(F36&lt;&gt;"",G36&lt;&gt;""),G36-F36+1,"")</f>
        <v>1</v>
      </c>
      <c r="I36" s="38" t="s">
        <v>51</v>
      </c>
    </row>
    <row r="37" spans="1:9" x14ac:dyDescent="0.25">
      <c r="A37" s="42" t="s">
        <v>12</v>
      </c>
      <c r="B37" s="43" t="s">
        <v>52</v>
      </c>
      <c r="C37" s="44" t="s">
        <v>14</v>
      </c>
      <c r="D37" s="44" t="s">
        <v>24</v>
      </c>
      <c r="E37" s="44">
        <v>3</v>
      </c>
      <c r="F37" s="6">
        <v>46140</v>
      </c>
      <c r="G37" s="6">
        <v>46140</v>
      </c>
      <c r="H37" s="38">
        <f>IF(AND(F37&lt;&gt;"",G37&lt;&gt;""),G37-F37+1,"")</f>
        <v>1</v>
      </c>
      <c r="I37" s="38"/>
    </row>
    <row r="38" spans="1:9" x14ac:dyDescent="0.25">
      <c r="A38" s="48" t="s">
        <v>53</v>
      </c>
      <c r="B38" s="49"/>
      <c r="C38" s="35"/>
      <c r="D38" s="35"/>
      <c r="E38" s="35">
        <f>SUM(E39:E39)</f>
        <v>2</v>
      </c>
      <c r="F38" s="34">
        <v>46142</v>
      </c>
      <c r="G38" s="34">
        <v>46142</v>
      </c>
      <c r="H38" s="35">
        <f t="shared" ref="H38:H39" si="1">IF(AND(F38&lt;&gt;"",G38&lt;&gt;""),G38-F38+1,"")</f>
        <v>1</v>
      </c>
      <c r="I38" s="36"/>
    </row>
    <row r="39" spans="1:9" ht="25.5" x14ac:dyDescent="0.25">
      <c r="A39" s="37" t="s">
        <v>12</v>
      </c>
      <c r="B39" s="38" t="s">
        <v>54</v>
      </c>
      <c r="C39" s="39" t="s">
        <v>14</v>
      </c>
      <c r="D39" s="39" t="s">
        <v>15</v>
      </c>
      <c r="E39" s="39">
        <v>2</v>
      </c>
      <c r="F39" s="40">
        <v>46142</v>
      </c>
      <c r="G39" s="40">
        <v>46142</v>
      </c>
      <c r="H39" s="41">
        <f t="shared" si="1"/>
        <v>1</v>
      </c>
      <c r="I39" s="38"/>
    </row>
    <row r="40" spans="1:9" ht="28.5" customHeight="1" x14ac:dyDescent="0.25">
      <c r="A40" s="48" t="s">
        <v>55</v>
      </c>
      <c r="B40" s="49"/>
      <c r="C40" s="35"/>
      <c r="D40" s="35"/>
      <c r="E40" s="35">
        <f>SUM(E41:E41)</f>
        <v>1</v>
      </c>
      <c r="F40" s="46">
        <v>46148</v>
      </c>
      <c r="G40" s="46">
        <v>46148</v>
      </c>
      <c r="H40" s="35">
        <f t="shared" ref="H40:H41" si="2">IF(AND(F40&lt;&gt;"",G40&lt;&gt;""),G40-F40+1,"")</f>
        <v>1</v>
      </c>
      <c r="I40" s="36"/>
    </row>
    <row r="41" spans="1:9" ht="25.5" x14ac:dyDescent="0.25">
      <c r="A41" s="37" t="s">
        <v>12</v>
      </c>
      <c r="B41" s="38" t="s">
        <v>56</v>
      </c>
      <c r="C41" s="39" t="s">
        <v>14</v>
      </c>
      <c r="D41" s="39" t="s">
        <v>24</v>
      </c>
      <c r="E41" s="39">
        <v>1</v>
      </c>
      <c r="F41" s="40">
        <v>46148</v>
      </c>
      <c r="G41" s="40">
        <v>46148</v>
      </c>
      <c r="H41" s="41">
        <f t="shared" si="2"/>
        <v>1</v>
      </c>
      <c r="I41" s="38"/>
    </row>
    <row r="42" spans="1:9" ht="37.5" customHeight="1" x14ac:dyDescent="0.25">
      <c r="A42" s="48" t="s">
        <v>57</v>
      </c>
      <c r="B42" s="49"/>
      <c r="C42" s="35"/>
      <c r="D42" s="35"/>
      <c r="E42" s="35">
        <f>SUM(E43:E44)</f>
        <v>6</v>
      </c>
      <c r="F42" s="34">
        <v>46143</v>
      </c>
      <c r="G42" s="34">
        <v>46143</v>
      </c>
      <c r="H42" s="35">
        <f t="shared" ref="H42:H43" si="3">IF(AND(F42&lt;&gt;"",G42&lt;&gt;""),G42-F42+1,"")</f>
        <v>1</v>
      </c>
      <c r="I42" s="36"/>
    </row>
    <row r="43" spans="1:9" x14ac:dyDescent="0.25">
      <c r="A43" s="37" t="s">
        <v>12</v>
      </c>
      <c r="B43" s="38" t="s">
        <v>58</v>
      </c>
      <c r="C43" s="39" t="s">
        <v>14</v>
      </c>
      <c r="D43" s="39" t="s">
        <v>20</v>
      </c>
      <c r="E43" s="39">
        <v>1</v>
      </c>
      <c r="F43" s="40">
        <v>46143</v>
      </c>
      <c r="G43" s="40">
        <v>46143</v>
      </c>
      <c r="H43" s="41">
        <f t="shared" si="3"/>
        <v>1</v>
      </c>
      <c r="I43" s="38"/>
    </row>
    <row r="44" spans="1:9" x14ac:dyDescent="0.25">
      <c r="A44" s="37" t="s">
        <v>12</v>
      </c>
      <c r="B44" s="38" t="s">
        <v>59</v>
      </c>
      <c r="C44" s="39" t="s">
        <v>14</v>
      </c>
      <c r="D44" s="39" t="s">
        <v>20</v>
      </c>
      <c r="E44" s="39">
        <v>5</v>
      </c>
      <c r="F44" s="40">
        <v>46143</v>
      </c>
      <c r="G44" s="40">
        <v>46143</v>
      </c>
      <c r="H44" s="41">
        <f t="shared" ref="H44" si="4">IF(AND(F44&lt;&gt;"",G44&lt;&gt;""),G44-F44+1,"")</f>
        <v>1</v>
      </c>
      <c r="I44" s="38"/>
    </row>
    <row r="45" spans="1:9" ht="48.75" customHeight="1" x14ac:dyDescent="0.25">
      <c r="A45" s="48" t="s">
        <v>60</v>
      </c>
      <c r="B45" s="49"/>
      <c r="C45" s="35"/>
      <c r="D45" s="35"/>
      <c r="E45" s="35">
        <f>SUM(E46:E51)</f>
        <v>16</v>
      </c>
      <c r="F45" s="46">
        <v>46143</v>
      </c>
      <c r="G45" s="46">
        <v>46148</v>
      </c>
      <c r="H45" s="35">
        <f t="shared" ref="H45:H54" si="5">IF(AND(F45&lt;&gt;"",G45&lt;&gt;""),G45-F45+1,"")</f>
        <v>6</v>
      </c>
      <c r="I45" s="36"/>
    </row>
    <row r="46" spans="1:9" ht="25.5" x14ac:dyDescent="0.25">
      <c r="A46" s="37" t="s">
        <v>12</v>
      </c>
      <c r="B46" s="38" t="s">
        <v>61</v>
      </c>
      <c r="C46" s="39" t="s">
        <v>14</v>
      </c>
      <c r="D46" s="39" t="s">
        <v>20</v>
      </c>
      <c r="E46" s="39">
        <v>3</v>
      </c>
      <c r="F46" s="40">
        <v>46143</v>
      </c>
      <c r="G46" s="40">
        <v>46145</v>
      </c>
      <c r="H46" s="41">
        <f t="shared" si="5"/>
        <v>3</v>
      </c>
      <c r="I46" s="38"/>
    </row>
    <row r="47" spans="1:9" ht="25.5" x14ac:dyDescent="0.25">
      <c r="A47" s="37" t="s">
        <v>12</v>
      </c>
      <c r="B47" s="38" t="s">
        <v>62</v>
      </c>
      <c r="C47" s="39" t="s">
        <v>14</v>
      </c>
      <c r="D47" s="39" t="s">
        <v>20</v>
      </c>
      <c r="E47" s="39">
        <v>3</v>
      </c>
      <c r="F47" s="40">
        <v>46143</v>
      </c>
      <c r="G47" s="40">
        <v>46145</v>
      </c>
      <c r="H47" s="41">
        <f t="shared" si="5"/>
        <v>3</v>
      </c>
      <c r="I47" s="38"/>
    </row>
    <row r="48" spans="1:9" ht="25.5" x14ac:dyDescent="0.25">
      <c r="A48" s="37" t="s">
        <v>12</v>
      </c>
      <c r="B48" s="38" t="s">
        <v>63</v>
      </c>
      <c r="C48" s="39" t="s">
        <v>14</v>
      </c>
      <c r="D48" s="39" t="s">
        <v>20</v>
      </c>
      <c r="E48" s="39">
        <v>2</v>
      </c>
      <c r="F48" s="40">
        <v>46143</v>
      </c>
      <c r="G48" s="40">
        <v>46145</v>
      </c>
      <c r="H48" s="41">
        <f t="shared" si="5"/>
        <v>3</v>
      </c>
      <c r="I48" s="38"/>
    </row>
    <row r="49" spans="1:9" ht="25.5" x14ac:dyDescent="0.25">
      <c r="A49" s="37" t="s">
        <v>12</v>
      </c>
      <c r="B49" s="38" t="s">
        <v>64</v>
      </c>
      <c r="C49" s="39" t="s">
        <v>14</v>
      </c>
      <c r="D49" s="39" t="s">
        <v>20</v>
      </c>
      <c r="E49" s="39">
        <v>3</v>
      </c>
      <c r="F49" s="40">
        <v>46148</v>
      </c>
      <c r="G49" s="40">
        <v>46148</v>
      </c>
      <c r="H49" s="41">
        <f t="shared" ref="H49" si="6">IF(AND(F49&lt;&gt;"",G49&lt;&gt;""),G49-F49+1,"")</f>
        <v>1</v>
      </c>
      <c r="I49" s="38"/>
    </row>
    <row r="50" spans="1:9" ht="25.5" x14ac:dyDescent="0.25">
      <c r="A50" s="37" t="s">
        <v>12</v>
      </c>
      <c r="B50" s="38" t="s">
        <v>65</v>
      </c>
      <c r="C50" s="39" t="s">
        <v>14</v>
      </c>
      <c r="D50" s="39" t="s">
        <v>15</v>
      </c>
      <c r="E50" s="39">
        <v>2</v>
      </c>
      <c r="F50" s="40">
        <v>46148</v>
      </c>
      <c r="G50" s="40">
        <v>46148</v>
      </c>
      <c r="H50" s="41">
        <f t="shared" ref="H50" si="7">IF(AND(F50&lt;&gt;"",G50&lt;&gt;""),G50-F50+1,"")</f>
        <v>1</v>
      </c>
      <c r="I50" s="38"/>
    </row>
    <row r="51" spans="1:9" ht="38.25" x14ac:dyDescent="0.25">
      <c r="A51" s="37" t="s">
        <v>12</v>
      </c>
      <c r="B51" s="38" t="s">
        <v>66</v>
      </c>
      <c r="C51" s="39" t="s">
        <v>14</v>
      </c>
      <c r="D51" s="39" t="s">
        <v>15</v>
      </c>
      <c r="E51" s="39">
        <v>3</v>
      </c>
      <c r="F51" s="40">
        <v>46148</v>
      </c>
      <c r="G51" s="40">
        <v>46148</v>
      </c>
      <c r="H51" s="41">
        <f t="shared" ref="H51" si="8">IF(AND(F51&lt;&gt;"",G51&lt;&gt;""),G51-F51+1,"")</f>
        <v>1</v>
      </c>
      <c r="I51" s="38"/>
    </row>
    <row r="52" spans="1:9" ht="47.25" customHeight="1" x14ac:dyDescent="0.25">
      <c r="A52" s="48" t="s">
        <v>67</v>
      </c>
      <c r="B52" s="49"/>
      <c r="C52" s="35"/>
      <c r="D52" s="35"/>
      <c r="E52" s="35">
        <f>SUM(E53:E53)</f>
        <v>8</v>
      </c>
      <c r="F52" s="46">
        <v>46148</v>
      </c>
      <c r="G52" s="46">
        <v>46148</v>
      </c>
      <c r="H52" s="35">
        <f t="shared" si="5"/>
        <v>1</v>
      </c>
      <c r="I52" s="36"/>
    </row>
    <row r="53" spans="1:9" ht="25.5" x14ac:dyDescent="0.25">
      <c r="A53" s="37" t="s">
        <v>12</v>
      </c>
      <c r="B53" s="38" t="s">
        <v>68</v>
      </c>
      <c r="C53" s="39" t="s">
        <v>14</v>
      </c>
      <c r="D53" s="39" t="s">
        <v>15</v>
      </c>
      <c r="E53" s="39">
        <v>8</v>
      </c>
      <c r="F53" s="40">
        <v>46148</v>
      </c>
      <c r="G53" s="40">
        <v>46148</v>
      </c>
      <c r="H53" s="41">
        <f t="shared" si="5"/>
        <v>1</v>
      </c>
      <c r="I53" s="38"/>
    </row>
    <row r="54" spans="1:9" ht="38.25" x14ac:dyDescent="0.25">
      <c r="A54" s="37" t="s">
        <v>12</v>
      </c>
      <c r="B54" s="38" t="s">
        <v>69</v>
      </c>
      <c r="C54" s="39" t="s">
        <v>14</v>
      </c>
      <c r="D54" s="39" t="s">
        <v>15</v>
      </c>
      <c r="E54" s="39">
        <v>3</v>
      </c>
      <c r="F54" s="40">
        <v>46148</v>
      </c>
      <c r="G54" s="40">
        <v>46148</v>
      </c>
      <c r="H54" s="41">
        <f t="shared" si="5"/>
        <v>1</v>
      </c>
      <c r="I54" s="38"/>
    </row>
    <row r="55" spans="1:9" ht="39.75" customHeight="1" x14ac:dyDescent="0.25">
      <c r="A55" s="48" t="s">
        <v>84</v>
      </c>
      <c r="B55" s="49"/>
      <c r="C55" s="35"/>
      <c r="D55" s="35"/>
      <c r="E55" s="35">
        <f>SUM(E56:E57)</f>
        <v>8</v>
      </c>
      <c r="F55" s="46">
        <v>46148</v>
      </c>
      <c r="G55" s="46">
        <v>46148</v>
      </c>
      <c r="H55" s="35">
        <f t="shared" ref="H55:H57" si="9">IF(AND(F55&lt;&gt;"",G55&lt;&gt;""),G55-F55+1,"")</f>
        <v>1</v>
      </c>
      <c r="I55" s="36"/>
    </row>
    <row r="56" spans="1:9" ht="38.25" x14ac:dyDescent="0.25">
      <c r="A56" s="37" t="s">
        <v>12</v>
      </c>
      <c r="B56" s="38" t="s">
        <v>85</v>
      </c>
      <c r="C56" s="39" t="s">
        <v>14</v>
      </c>
      <c r="D56" s="39" t="s">
        <v>15</v>
      </c>
      <c r="E56" s="39">
        <v>5</v>
      </c>
      <c r="F56" s="40">
        <v>46148</v>
      </c>
      <c r="G56" s="40">
        <v>46148</v>
      </c>
      <c r="H56" s="41">
        <f t="shared" si="9"/>
        <v>1</v>
      </c>
      <c r="I56" s="38"/>
    </row>
    <row r="57" spans="1:9" ht="63.75" x14ac:dyDescent="0.25">
      <c r="A57" s="37" t="s">
        <v>12</v>
      </c>
      <c r="B57" s="38" t="s">
        <v>86</v>
      </c>
      <c r="C57" s="39" t="s">
        <v>14</v>
      </c>
      <c r="D57" s="39" t="s">
        <v>15</v>
      </c>
      <c r="E57" s="39">
        <v>3</v>
      </c>
      <c r="F57" s="40">
        <v>46148</v>
      </c>
      <c r="G57" s="40">
        <v>46148</v>
      </c>
      <c r="H57" s="41">
        <f t="shared" si="9"/>
        <v>1</v>
      </c>
      <c r="I57" s="38"/>
    </row>
    <row r="58" spans="1:9" ht="43.5" customHeight="1" x14ac:dyDescent="0.25">
      <c r="A58" s="48" t="s">
        <v>87</v>
      </c>
      <c r="B58" s="49"/>
      <c r="C58" s="35"/>
      <c r="D58" s="35"/>
      <c r="E58" s="35">
        <f>SUM(E59:E60)</f>
        <v>7</v>
      </c>
      <c r="F58" s="46"/>
      <c r="G58" s="46"/>
      <c r="H58" s="35" t="str">
        <f t="shared" ref="H58:H60" si="10">IF(AND(F58&lt;&gt;"",G58&lt;&gt;""),G58-F58+1,"")</f>
        <v/>
      </c>
      <c r="I58" s="36"/>
    </row>
    <row r="59" spans="1:9" ht="51" x14ac:dyDescent="0.25">
      <c r="A59" s="37" t="s">
        <v>12</v>
      </c>
      <c r="B59" s="38" t="s">
        <v>88</v>
      </c>
      <c r="C59" s="39" t="s">
        <v>27</v>
      </c>
      <c r="D59" s="39" t="s">
        <v>24</v>
      </c>
      <c r="E59" s="39">
        <v>2</v>
      </c>
      <c r="F59" s="40"/>
      <c r="G59" s="40"/>
      <c r="H59" s="41" t="str">
        <f t="shared" si="10"/>
        <v/>
      </c>
      <c r="I59" s="38"/>
    </row>
    <row r="60" spans="1:9" ht="25.5" x14ac:dyDescent="0.25">
      <c r="A60" s="37" t="s">
        <v>12</v>
      </c>
      <c r="B60" s="38" t="s">
        <v>89</v>
      </c>
      <c r="C60" s="39" t="s">
        <v>27</v>
      </c>
      <c r="D60" s="39" t="s">
        <v>24</v>
      </c>
      <c r="E60" s="39">
        <v>5</v>
      </c>
      <c r="F60" s="40"/>
      <c r="G60" s="40"/>
      <c r="H60" s="41" t="str">
        <f t="shared" si="10"/>
        <v/>
      </c>
      <c r="I60" s="38"/>
    </row>
    <row r="61" spans="1:9" ht="32.25" customHeight="1" x14ac:dyDescent="0.25">
      <c r="A61" s="48" t="s">
        <v>93</v>
      </c>
      <c r="B61" s="49"/>
      <c r="C61" s="35"/>
      <c r="D61" s="35"/>
      <c r="E61" s="35">
        <f>SUM(E62:E64)</f>
        <v>9</v>
      </c>
      <c r="F61" s="46"/>
      <c r="G61" s="46"/>
      <c r="H61" s="35" t="str">
        <f t="shared" ref="H61:H63" si="11">IF(AND(F61&lt;&gt;"",G61&lt;&gt;""),G61-F61+1,"")</f>
        <v/>
      </c>
      <c r="I61" s="36"/>
    </row>
    <row r="62" spans="1:9" ht="51" x14ac:dyDescent="0.25">
      <c r="A62" s="37" t="s">
        <v>12</v>
      </c>
      <c r="B62" s="38" t="s">
        <v>90</v>
      </c>
      <c r="C62" s="39" t="s">
        <v>27</v>
      </c>
      <c r="D62" s="39" t="s">
        <v>24</v>
      </c>
      <c r="E62" s="39">
        <v>2</v>
      </c>
      <c r="F62" s="40"/>
      <c r="G62" s="40"/>
      <c r="H62" s="41" t="str">
        <f t="shared" si="11"/>
        <v/>
      </c>
      <c r="I62" s="38"/>
    </row>
    <row r="63" spans="1:9" x14ac:dyDescent="0.25">
      <c r="A63" s="37" t="s">
        <v>12</v>
      </c>
      <c r="B63" s="38" t="s">
        <v>91</v>
      </c>
      <c r="C63" s="39" t="s">
        <v>27</v>
      </c>
      <c r="D63" s="39" t="s">
        <v>24</v>
      </c>
      <c r="E63" s="39">
        <v>5</v>
      </c>
      <c r="F63" s="40"/>
      <c r="G63" s="40"/>
      <c r="H63" s="41" t="str">
        <f t="shared" si="11"/>
        <v/>
      </c>
      <c r="I63" s="38"/>
    </row>
    <row r="64" spans="1:9" x14ac:dyDescent="0.25">
      <c r="A64" s="37" t="s">
        <v>12</v>
      </c>
      <c r="B64" s="38" t="s">
        <v>92</v>
      </c>
      <c r="C64" s="39" t="s">
        <v>27</v>
      </c>
      <c r="D64" s="39" t="s">
        <v>24</v>
      </c>
      <c r="E64" s="39">
        <v>2</v>
      </c>
      <c r="F64" s="40"/>
      <c r="G64" s="40"/>
      <c r="H64" s="41" t="str">
        <f t="shared" ref="H64:H67" si="12">IF(AND(F64&lt;&gt;"",G64&lt;&gt;""),G64-F64+1,"")</f>
        <v/>
      </c>
      <c r="I64" s="38"/>
    </row>
    <row r="65" spans="1:9" ht="40.5" customHeight="1" x14ac:dyDescent="0.25">
      <c r="A65" s="48" t="s">
        <v>94</v>
      </c>
      <c r="B65" s="49"/>
      <c r="C65" s="35"/>
      <c r="D65" s="35"/>
      <c r="E65" s="35">
        <f>SUM(E66:E67)</f>
        <v>8</v>
      </c>
      <c r="F65" s="46">
        <v>46155</v>
      </c>
      <c r="G65" s="46"/>
      <c r="H65" s="35" t="str">
        <f t="shared" si="12"/>
        <v/>
      </c>
      <c r="I65" s="36"/>
    </row>
    <row r="66" spans="1:9" x14ac:dyDescent="0.25">
      <c r="A66" s="37" t="s">
        <v>12</v>
      </c>
      <c r="B66" s="38" t="s">
        <v>95</v>
      </c>
      <c r="C66" s="39" t="s">
        <v>73</v>
      </c>
      <c r="D66" s="39" t="s">
        <v>15</v>
      </c>
      <c r="E66" s="39">
        <v>3</v>
      </c>
      <c r="F66" s="40">
        <v>46155</v>
      </c>
      <c r="G66" s="40"/>
      <c r="H66" s="41" t="str">
        <f t="shared" si="12"/>
        <v/>
      </c>
      <c r="I66" s="38"/>
    </row>
    <row r="67" spans="1:9" x14ac:dyDescent="0.25">
      <c r="A67" s="37" t="s">
        <v>12</v>
      </c>
      <c r="B67" s="38" t="s">
        <v>96</v>
      </c>
      <c r="C67" s="39" t="s">
        <v>73</v>
      </c>
      <c r="D67" s="39" t="s">
        <v>15</v>
      </c>
      <c r="E67" s="39">
        <v>5</v>
      </c>
      <c r="F67" s="40">
        <v>46155</v>
      </c>
      <c r="G67" s="40"/>
      <c r="H67" s="41" t="str">
        <f t="shared" si="12"/>
        <v/>
      </c>
      <c r="I67" s="38"/>
    </row>
    <row r="68" spans="1:9" ht="36" customHeight="1" x14ac:dyDescent="0.25">
      <c r="A68" s="48" t="s">
        <v>97</v>
      </c>
      <c r="B68" s="49"/>
      <c r="C68" s="35"/>
      <c r="D68" s="35"/>
      <c r="E68" s="35">
        <f>SUM(E69:E71)</f>
        <v>11</v>
      </c>
      <c r="F68" s="46">
        <v>46149</v>
      </c>
      <c r="G68" s="46">
        <v>46155</v>
      </c>
      <c r="H68" s="35">
        <f t="shared" ref="H68:H69" si="13">IF(AND(F68&lt;&gt;"",G68&lt;&gt;""),G68-F68+1,"")</f>
        <v>7</v>
      </c>
      <c r="I68" s="36"/>
    </row>
    <row r="69" spans="1:9" x14ac:dyDescent="0.25">
      <c r="A69" s="37" t="s">
        <v>12</v>
      </c>
      <c r="B69" s="38" t="s">
        <v>98</v>
      </c>
      <c r="C69" s="39" t="s">
        <v>14</v>
      </c>
      <c r="D69" s="39" t="s">
        <v>20</v>
      </c>
      <c r="E69" s="39">
        <v>5</v>
      </c>
      <c r="F69" s="40">
        <v>46149</v>
      </c>
      <c r="G69" s="40">
        <v>46153</v>
      </c>
      <c r="H69" s="41">
        <f t="shared" si="13"/>
        <v>5</v>
      </c>
      <c r="I69" s="38"/>
    </row>
    <row r="70" spans="1:9" x14ac:dyDescent="0.25">
      <c r="A70" s="37" t="s">
        <v>12</v>
      </c>
      <c r="B70" s="38" t="s">
        <v>99</v>
      </c>
      <c r="C70" s="39" t="s">
        <v>14</v>
      </c>
      <c r="D70" s="39" t="s">
        <v>20</v>
      </c>
      <c r="E70" s="39">
        <v>3</v>
      </c>
      <c r="F70" s="40">
        <v>46149</v>
      </c>
      <c r="G70" s="40">
        <v>46155</v>
      </c>
      <c r="H70" s="41">
        <f t="shared" ref="H70" si="14">IF(AND(F70&lt;&gt;"",G70&lt;&gt;""),G70-F70+1,"")</f>
        <v>7</v>
      </c>
      <c r="I70" s="38"/>
    </row>
    <row r="71" spans="1:9" x14ac:dyDescent="0.25">
      <c r="A71" s="37" t="s">
        <v>12</v>
      </c>
      <c r="B71" s="38" t="s">
        <v>100</v>
      </c>
      <c r="C71" s="39" t="s">
        <v>14</v>
      </c>
      <c r="D71" s="39" t="s">
        <v>20</v>
      </c>
      <c r="E71" s="39">
        <v>3</v>
      </c>
      <c r="F71" s="40">
        <v>46149</v>
      </c>
      <c r="G71" s="40">
        <v>46155</v>
      </c>
      <c r="H71" s="41">
        <f t="shared" ref="H71" si="15">IF(AND(F71&lt;&gt;"",G71&lt;&gt;""),G71-F71+1,"")</f>
        <v>7</v>
      </c>
      <c r="I71" s="38"/>
    </row>
    <row r="72" spans="1:9" ht="48" customHeight="1" x14ac:dyDescent="0.25">
      <c r="A72" s="48" t="s">
        <v>101</v>
      </c>
      <c r="B72" s="49"/>
      <c r="C72" s="35"/>
      <c r="D72" s="35"/>
      <c r="E72" s="35">
        <f>SUM(E73:E73)</f>
        <v>3</v>
      </c>
      <c r="F72" s="46"/>
      <c r="G72" s="46"/>
      <c r="H72" s="35" t="str">
        <f t="shared" ref="H72:H73" si="16">IF(AND(F72&lt;&gt;"",G72&lt;&gt;""),G72-F72+1,"")</f>
        <v/>
      </c>
      <c r="I72" s="36"/>
    </row>
    <row r="73" spans="1:9" x14ac:dyDescent="0.25">
      <c r="A73" s="37" t="s">
        <v>12</v>
      </c>
      <c r="B73" s="38" t="s">
        <v>102</v>
      </c>
      <c r="C73" s="39" t="s">
        <v>27</v>
      </c>
      <c r="D73" s="39" t="s">
        <v>20</v>
      </c>
      <c r="E73" s="39">
        <v>3</v>
      </c>
      <c r="F73" s="40"/>
      <c r="G73" s="40"/>
      <c r="H73" s="41" t="str">
        <f t="shared" si="16"/>
        <v/>
      </c>
      <c r="I73" s="38"/>
    </row>
    <row r="74" spans="1:9" ht="62.25" customHeight="1" x14ac:dyDescent="0.25">
      <c r="A74" s="48" t="s">
        <v>119</v>
      </c>
      <c r="B74" s="49"/>
      <c r="C74" s="35"/>
      <c r="D74" s="35"/>
      <c r="E74" s="35">
        <f>SUM(E75:E75)</f>
        <v>5</v>
      </c>
      <c r="F74" s="46"/>
      <c r="G74" s="46"/>
      <c r="H74" s="35" t="str">
        <f t="shared" ref="H74:H75" si="17">IF(AND(F74&lt;&gt;"",G74&lt;&gt;""),G74-F74+1,"")</f>
        <v/>
      </c>
      <c r="I74" s="36"/>
    </row>
    <row r="75" spans="1:9" ht="25.5" x14ac:dyDescent="0.25">
      <c r="A75" s="37" t="s">
        <v>12</v>
      </c>
      <c r="B75" s="38" t="s">
        <v>103</v>
      </c>
      <c r="C75" s="39" t="s">
        <v>27</v>
      </c>
      <c r="D75" s="39" t="s">
        <v>24</v>
      </c>
      <c r="E75" s="39">
        <v>5</v>
      </c>
      <c r="F75" s="40"/>
      <c r="G75" s="40"/>
      <c r="H75" s="41" t="str">
        <f t="shared" si="17"/>
        <v/>
      </c>
      <c r="I75" s="38"/>
    </row>
    <row r="76" spans="1:9" ht="45" customHeight="1" x14ac:dyDescent="0.25">
      <c r="A76" s="48" t="s">
        <v>120</v>
      </c>
      <c r="B76" s="49"/>
      <c r="C76" s="35"/>
      <c r="D76" s="35"/>
      <c r="E76" s="35">
        <f>SUM(E77:E90)</f>
        <v>0</v>
      </c>
      <c r="F76" s="46"/>
      <c r="G76" s="46"/>
      <c r="H76" s="35" t="str">
        <f t="shared" ref="H76:H90" si="18">IF(AND(F76&lt;&gt;"",G76&lt;&gt;""),G76-F76+1,"")</f>
        <v/>
      </c>
      <c r="I76" s="36"/>
    </row>
    <row r="77" spans="1:9" x14ac:dyDescent="0.25">
      <c r="A77" s="37" t="s">
        <v>104</v>
      </c>
      <c r="B77" s="38" t="s">
        <v>105</v>
      </c>
      <c r="C77" s="39" t="s">
        <v>27</v>
      </c>
      <c r="D77" s="39" t="s">
        <v>24</v>
      </c>
      <c r="E77" s="39"/>
      <c r="F77" s="40"/>
      <c r="G77" s="40"/>
      <c r="H77" s="41" t="str">
        <f t="shared" si="18"/>
        <v/>
      </c>
      <c r="I77" s="38"/>
    </row>
    <row r="78" spans="1:9" x14ac:dyDescent="0.25">
      <c r="A78" s="37" t="s">
        <v>12</v>
      </c>
      <c r="B78" s="38" t="s">
        <v>106</v>
      </c>
      <c r="C78" s="39" t="s">
        <v>27</v>
      </c>
      <c r="D78" s="39" t="s">
        <v>24</v>
      </c>
      <c r="E78" s="39"/>
      <c r="F78" s="40"/>
      <c r="G78" s="40"/>
      <c r="H78" s="41" t="str">
        <f t="shared" si="18"/>
        <v/>
      </c>
      <c r="I78" s="38"/>
    </row>
    <row r="79" spans="1:9" x14ac:dyDescent="0.25">
      <c r="A79" s="37" t="s">
        <v>12</v>
      </c>
      <c r="B79" s="38" t="s">
        <v>107</v>
      </c>
      <c r="C79" s="39" t="s">
        <v>27</v>
      </c>
      <c r="D79" s="39" t="s">
        <v>24</v>
      </c>
      <c r="E79" s="39"/>
      <c r="F79" s="40"/>
      <c r="G79" s="40"/>
      <c r="H79" s="41" t="str">
        <f t="shared" si="18"/>
        <v/>
      </c>
      <c r="I79" s="38"/>
    </row>
    <row r="80" spans="1:9" x14ac:dyDescent="0.25">
      <c r="A80" s="37" t="s">
        <v>12</v>
      </c>
      <c r="B80" s="38" t="s">
        <v>108</v>
      </c>
      <c r="C80" s="39" t="s">
        <v>27</v>
      </c>
      <c r="D80" s="39" t="s">
        <v>24</v>
      </c>
      <c r="E80" s="39"/>
      <c r="F80" s="40"/>
      <c r="G80" s="40"/>
      <c r="H80" s="41" t="str">
        <f t="shared" si="18"/>
        <v/>
      </c>
      <c r="I80" s="38"/>
    </row>
    <row r="81" spans="1:9" ht="25.5" x14ac:dyDescent="0.25">
      <c r="A81" s="37" t="s">
        <v>12</v>
      </c>
      <c r="B81" s="38" t="s">
        <v>109</v>
      </c>
      <c r="C81" s="39" t="s">
        <v>27</v>
      </c>
      <c r="D81" s="39" t="s">
        <v>24</v>
      </c>
      <c r="E81" s="39"/>
      <c r="F81" s="40"/>
      <c r="G81" s="40"/>
      <c r="H81" s="41" t="str">
        <f t="shared" si="18"/>
        <v/>
      </c>
      <c r="I81" s="38"/>
    </row>
    <row r="82" spans="1:9" x14ac:dyDescent="0.25">
      <c r="A82" s="37" t="s">
        <v>12</v>
      </c>
      <c r="B82" s="38" t="s">
        <v>110</v>
      </c>
      <c r="C82" s="39" t="s">
        <v>27</v>
      </c>
      <c r="D82" s="39" t="s">
        <v>24</v>
      </c>
      <c r="E82" s="39"/>
      <c r="F82" s="40"/>
      <c r="G82" s="40"/>
      <c r="H82" s="41" t="str">
        <f t="shared" si="18"/>
        <v/>
      </c>
      <c r="I82" s="38"/>
    </row>
    <row r="83" spans="1:9" ht="25.5" x14ac:dyDescent="0.25">
      <c r="A83" s="37" t="s">
        <v>12</v>
      </c>
      <c r="B83" s="38" t="s">
        <v>111</v>
      </c>
      <c r="C83" s="39" t="s">
        <v>27</v>
      </c>
      <c r="D83" s="39" t="s">
        <v>24</v>
      </c>
      <c r="E83" s="39"/>
      <c r="F83" s="40"/>
      <c r="G83" s="40"/>
      <c r="H83" s="41" t="str">
        <f t="shared" si="18"/>
        <v/>
      </c>
      <c r="I83" s="38"/>
    </row>
    <row r="84" spans="1:9" x14ac:dyDescent="0.25">
      <c r="A84" s="37" t="s">
        <v>12</v>
      </c>
      <c r="B84" s="38" t="s">
        <v>112</v>
      </c>
      <c r="C84" s="39" t="s">
        <v>27</v>
      </c>
      <c r="D84" s="39" t="s">
        <v>24</v>
      </c>
      <c r="E84" s="39"/>
      <c r="F84" s="40"/>
      <c r="G84" s="40"/>
      <c r="H84" s="41" t="str">
        <f t="shared" si="18"/>
        <v/>
      </c>
      <c r="I84" s="38"/>
    </row>
    <row r="85" spans="1:9" x14ac:dyDescent="0.25">
      <c r="A85" s="37" t="s">
        <v>12</v>
      </c>
      <c r="B85" s="38" t="s">
        <v>113</v>
      </c>
      <c r="C85" s="39" t="s">
        <v>27</v>
      </c>
      <c r="D85" s="39" t="s">
        <v>24</v>
      </c>
      <c r="E85" s="39"/>
      <c r="F85" s="40"/>
      <c r="G85" s="40"/>
      <c r="H85" s="41" t="str">
        <f t="shared" si="18"/>
        <v/>
      </c>
      <c r="I85" s="38"/>
    </row>
    <row r="86" spans="1:9" x14ac:dyDescent="0.25">
      <c r="A86" s="37" t="s">
        <v>12</v>
      </c>
      <c r="B86" s="38" t="s">
        <v>114</v>
      </c>
      <c r="C86" s="39" t="s">
        <v>27</v>
      </c>
      <c r="D86" s="39" t="s">
        <v>24</v>
      </c>
      <c r="E86" s="39"/>
      <c r="F86" s="40"/>
      <c r="G86" s="40"/>
      <c r="H86" s="41" t="str">
        <f t="shared" si="18"/>
        <v/>
      </c>
      <c r="I86" s="38"/>
    </row>
    <row r="87" spans="1:9" x14ac:dyDescent="0.25">
      <c r="A87" s="37" t="s">
        <v>12</v>
      </c>
      <c r="B87" s="38" t="s">
        <v>115</v>
      </c>
      <c r="C87" s="39" t="s">
        <v>27</v>
      </c>
      <c r="D87" s="39" t="s">
        <v>24</v>
      </c>
      <c r="E87" s="39"/>
      <c r="F87" s="40"/>
      <c r="G87" s="40"/>
      <c r="H87" s="41" t="str">
        <f t="shared" si="18"/>
        <v/>
      </c>
      <c r="I87" s="38"/>
    </row>
    <row r="88" spans="1:9" ht="25.5" x14ac:dyDescent="0.25">
      <c r="A88" s="37" t="s">
        <v>12</v>
      </c>
      <c r="B88" s="38" t="s">
        <v>116</v>
      </c>
      <c r="C88" s="39" t="s">
        <v>27</v>
      </c>
      <c r="D88" s="39" t="s">
        <v>24</v>
      </c>
      <c r="E88" s="39"/>
      <c r="F88" s="40"/>
      <c r="G88" s="40"/>
      <c r="H88" s="41" t="str">
        <f t="shared" si="18"/>
        <v/>
      </c>
      <c r="I88" s="38"/>
    </row>
    <row r="89" spans="1:9" ht="25.5" x14ac:dyDescent="0.25">
      <c r="A89" s="37" t="s">
        <v>12</v>
      </c>
      <c r="B89" s="38" t="s">
        <v>117</v>
      </c>
      <c r="C89" s="39" t="s">
        <v>27</v>
      </c>
      <c r="D89" s="39" t="s">
        <v>24</v>
      </c>
      <c r="E89" s="39"/>
      <c r="F89" s="40"/>
      <c r="G89" s="40"/>
      <c r="H89" s="41" t="str">
        <f t="shared" si="18"/>
        <v/>
      </c>
      <c r="I89" s="38"/>
    </row>
    <row r="90" spans="1:9" x14ac:dyDescent="0.25">
      <c r="A90" s="37" t="s">
        <v>12</v>
      </c>
      <c r="B90" s="38" t="s">
        <v>118</v>
      </c>
      <c r="C90" s="39" t="s">
        <v>27</v>
      </c>
      <c r="D90" s="39" t="s">
        <v>24</v>
      </c>
      <c r="E90" s="39"/>
      <c r="F90" s="40"/>
      <c r="G90" s="40"/>
      <c r="H90" s="41" t="str">
        <f t="shared" si="18"/>
        <v/>
      </c>
      <c r="I90" s="38"/>
    </row>
  </sheetData>
  <mergeCells count="23">
    <mergeCell ref="A65:B65"/>
    <mergeCell ref="A19:B19"/>
    <mergeCell ref="A1:I1"/>
    <mergeCell ref="A3:B3"/>
    <mergeCell ref="A7:B7"/>
    <mergeCell ref="A11:B11"/>
    <mergeCell ref="A15:B15"/>
    <mergeCell ref="A76:B76"/>
    <mergeCell ref="A24:B24"/>
    <mergeCell ref="A28:B28"/>
    <mergeCell ref="A30:B30"/>
    <mergeCell ref="A35:B35"/>
    <mergeCell ref="A45:B45"/>
    <mergeCell ref="A52:B52"/>
    <mergeCell ref="A40:B40"/>
    <mergeCell ref="A42:B42"/>
    <mergeCell ref="A38:B38"/>
    <mergeCell ref="A68:B68"/>
    <mergeCell ref="A72:B72"/>
    <mergeCell ref="A74:B74"/>
    <mergeCell ref="A55:B55"/>
    <mergeCell ref="A58:B58"/>
    <mergeCell ref="A61:B61"/>
  </mergeCells>
  <conditionalFormatting sqref="C3:C185">
    <cfRule type="cellIs" dxfId="6" priority="2" operator="equal">
      <formula>"Complete"</formula>
    </cfRule>
    <cfRule type="cellIs" dxfId="5" priority="3" operator="equal">
      <formula>"Testing in Progress"</formula>
    </cfRule>
    <cfRule type="cellIs" dxfId="4" priority="4" operator="equal">
      <formula>"In Progress"</formula>
    </cfRule>
    <cfRule type="cellIs" dxfId="3" priority="5" operator="equal">
      <formula>"Ready to Start"</formula>
    </cfRule>
  </conditionalFormatting>
  <conditionalFormatting sqref="D3:D185">
    <cfRule type="cellIs" dxfId="2" priority="6" operator="equal">
      <formula>"High"</formula>
    </cfRule>
    <cfRule type="cellIs" dxfId="1" priority="7" operator="equal">
      <formula>"Medium"</formula>
    </cfRule>
    <cfRule type="cellIs" dxfId="0" priority="8" operator="equal">
      <formula>"Low"</formula>
    </cfRule>
  </conditionalFormatting>
  <dataValidations count="4">
    <dataValidation type="list" showErrorMessage="1" errorTitle="Invalid Hours" error="Use Fibonacci values: 1,2,3,5,8,13,21,34,55,89" sqref="E4:E6 E8:E10 E12:E14 E16:E18 E20:E23 E29 E31:E34 E36:E37 E39 E41 E25:E27 E43:E44 E46:E51 E53:E54 E56:E57 E59:E60 E62:E64 E66:E67 E77:E185 E73 E75 E69:E71" xr:uid="{00000000-0002-0000-0000-000002000000}">
      <formula1>"1,2,3,5,8,13,21,34,55,89"</formula1>
      <formula2>0</formula2>
    </dataValidation>
    <dataValidation showErrorMessage="1" errorTitle="Invalid Hours" error="Use Fibonacci values: 1,2,3,5,8,13,21,34,55,89" sqref="E3 E7 E11 E15 E24 E19 E28 E30 E35 E38 E40 E42 E45 E52 E55 E58 E61 E65 E68 E72 E74 E76" xr:uid="{599C0C4E-C52E-47D2-AE9E-5228F784AF05}"/>
    <dataValidation type="list" showErrorMessage="1" errorTitle="Invalid Status" error="Choose from: Ready to Start, In Progress, Testing in Progress, Complete" sqref="C3:C185" xr:uid="{00000000-0002-0000-0000-000000000000}">
      <formula1>"Ready to Start,In Progress,Testing in Progress,Complete"</formula1>
      <formula2>0</formula2>
    </dataValidation>
    <dataValidation type="list" showErrorMessage="1" errorTitle="Invalid Priority" error="Choose from: High, Medium, Low" sqref="D3:D185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H27"/>
  <sheetViews>
    <sheetView showGridLines="0" zoomScaleNormal="100" workbookViewId="0">
      <selection activeCell="B11" sqref="B11"/>
    </sheetView>
  </sheetViews>
  <sheetFormatPr defaultColWidth="8.5703125" defaultRowHeight="15" x14ac:dyDescent="0.25"/>
  <cols>
    <col min="1" max="8" width="18" customWidth="1"/>
  </cols>
  <sheetData>
    <row r="1" spans="1:8" ht="30" customHeight="1" x14ac:dyDescent="0.25">
      <c r="A1" s="52" t="s">
        <v>70</v>
      </c>
      <c r="B1" s="52"/>
      <c r="C1" s="52"/>
      <c r="D1" s="52"/>
      <c r="E1" s="52"/>
      <c r="F1" s="52"/>
      <c r="G1" s="52"/>
      <c r="H1" s="52"/>
    </row>
    <row r="3" spans="1:8" x14ac:dyDescent="0.25">
      <c r="A3" s="33" t="s">
        <v>71</v>
      </c>
      <c r="B3" s="33" t="s">
        <v>72</v>
      </c>
      <c r="C3" s="33" t="s">
        <v>73</v>
      </c>
      <c r="D3" s="33" t="s">
        <v>27</v>
      </c>
      <c r="E3" s="33" t="s">
        <v>74</v>
      </c>
    </row>
    <row r="4" spans="1:8" ht="36" customHeight="1" x14ac:dyDescent="0.25">
      <c r="A4" s="14">
        <f>SUMIF(Tracker!C3:C185,"&lt;&gt;"&amp;"",Tracker!E3:E185)</f>
        <v>176</v>
      </c>
      <c r="B4" s="15">
        <f>COUNTIF(Tracker!C3:C185,"Complete")</f>
        <v>40</v>
      </c>
      <c r="C4" s="16">
        <f>COUNTIF(Tracker!C3:C185,"In Progress")</f>
        <v>2</v>
      </c>
      <c r="D4" s="17">
        <f>COUNTIF(Tracker!C3:C185,"Ready to Start")</f>
        <v>24</v>
      </c>
      <c r="E4" s="18">
        <f>COUNTIF(Tracker!C3:C185,"Testing in Progress")</f>
        <v>0</v>
      </c>
    </row>
    <row r="6" spans="1:8" ht="19.5" customHeight="1" x14ac:dyDescent="0.25">
      <c r="A6" s="19" t="s">
        <v>75</v>
      </c>
      <c r="B6" s="19" t="s">
        <v>76</v>
      </c>
      <c r="C6" s="19" t="s">
        <v>71</v>
      </c>
      <c r="D6" s="19" t="s">
        <v>77</v>
      </c>
      <c r="F6" s="20" t="s">
        <v>78</v>
      </c>
      <c r="G6" s="20" t="s">
        <v>79</v>
      </c>
      <c r="H6" s="20" t="s">
        <v>80</v>
      </c>
    </row>
    <row r="7" spans="1:8" x14ac:dyDescent="0.25">
      <c r="A7" s="21" t="s">
        <v>27</v>
      </c>
      <c r="B7" s="22">
        <f>COUNTIF(Tracker!C:C,A7)</f>
        <v>24</v>
      </c>
      <c r="C7" s="22">
        <f>SUMIF(Tracker!C:C,A7,Tracker!E:E)</f>
        <v>55</v>
      </c>
      <c r="D7" s="23">
        <f>IFERROR(C7/SUM(C7:C10),0)</f>
        <v>0.3125</v>
      </c>
      <c r="F7" s="24" t="s">
        <v>20</v>
      </c>
      <c r="G7" s="22">
        <f>COUNTIF(Tracker!D:D,F7)</f>
        <v>15</v>
      </c>
      <c r="H7" s="22">
        <f>SUMIF(Tracker!D:D,F7,Tracker!E:E)</f>
        <v>46</v>
      </c>
    </row>
    <row r="8" spans="1:8" x14ac:dyDescent="0.25">
      <c r="A8" s="25" t="s">
        <v>73</v>
      </c>
      <c r="B8" s="22">
        <f>COUNTIF(Tracker!C:C,A8)</f>
        <v>2</v>
      </c>
      <c r="C8" s="22">
        <f>SUMIF(Tracker!C:C,A8,Tracker!E:E)</f>
        <v>8</v>
      </c>
      <c r="D8" s="23">
        <f>IFERROR(C8/SUM(C7:C10),0)</f>
        <v>4.5454545454545456E-2</v>
      </c>
      <c r="F8" s="26" t="s">
        <v>15</v>
      </c>
      <c r="G8" s="22">
        <f>COUNTIF(Tracker!D:D,F8)</f>
        <v>17</v>
      </c>
      <c r="H8" s="22">
        <f>SUMIF(Tracker!D:D,F8,Tracker!E:E)</f>
        <v>52</v>
      </c>
    </row>
    <row r="9" spans="1:8" x14ac:dyDescent="0.25">
      <c r="A9" s="27" t="s">
        <v>81</v>
      </c>
      <c r="B9" s="22">
        <f>COUNTIF(Tracker!C:C,A9)</f>
        <v>0</v>
      </c>
      <c r="C9" s="22">
        <f>SUMIF(Tracker!C:C,A9,Tracker!E:E)</f>
        <v>0</v>
      </c>
      <c r="D9" s="23">
        <f>IFERROR(C9/SUM(C7:C10),0)</f>
        <v>0</v>
      </c>
      <c r="F9" s="28" t="s">
        <v>24</v>
      </c>
      <c r="G9" s="22">
        <f>COUNTIF(Tracker!D:D,F9)</f>
        <v>34</v>
      </c>
      <c r="H9" s="22">
        <f>SUMIF(Tracker!D:D,F9,Tracker!E:E)</f>
        <v>78</v>
      </c>
    </row>
    <row r="10" spans="1:8" x14ac:dyDescent="0.25">
      <c r="A10" s="29" t="s">
        <v>14</v>
      </c>
      <c r="B10" s="22">
        <f>COUNTIF(Tracker!C:C,A10)</f>
        <v>40</v>
      </c>
      <c r="C10" s="22">
        <f>SUMIF(Tracker!C:C,A10,Tracker!E:E)</f>
        <v>113</v>
      </c>
      <c r="D10" s="23">
        <f>IFERROR(C10/SUM(C7:C10),0)</f>
        <v>0.64204545454545459</v>
      </c>
    </row>
    <row r="11" spans="1:8" x14ac:dyDescent="0.25">
      <c r="A11" s="30" t="s">
        <v>82</v>
      </c>
      <c r="B11" s="31">
        <f>SUM(B7:B10)</f>
        <v>66</v>
      </c>
      <c r="C11" s="31">
        <f>SUM(C7:C10)</f>
        <v>176</v>
      </c>
      <c r="D11" s="32">
        <f>SUM(D7:D10)</f>
        <v>1</v>
      </c>
    </row>
    <row r="27" spans="1:8" x14ac:dyDescent="0.25">
      <c r="A27" s="53" t="s">
        <v>83</v>
      </c>
      <c r="B27" s="53"/>
      <c r="C27" s="53"/>
      <c r="D27" s="53"/>
      <c r="E27" s="53"/>
      <c r="F27" s="53"/>
      <c r="G27" s="53"/>
      <c r="H27" s="53"/>
    </row>
  </sheetData>
  <mergeCells count="2">
    <mergeCell ref="A1:H1"/>
    <mergeCell ref="A27:H2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Armstrong, Samuel</cp:lastModifiedBy>
  <cp:revision>1</cp:revision>
  <dcterms:created xsi:type="dcterms:W3CDTF">2026-04-07T17:45:01Z</dcterms:created>
  <dcterms:modified xsi:type="dcterms:W3CDTF">2026-05-13T18:27:25Z</dcterms:modified>
  <cp:category/>
  <cp:contentStatus/>
</cp:coreProperties>
</file>